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firstSheet="8" activeTab="10"/>
  </bookViews>
  <sheets>
    <sheet name="threadedmapbench-ARM" sheetId="3" r:id="rId1"/>
    <sheet name="threadedmapbench-RISCV" sheetId="4" r:id="rId2"/>
    <sheet name="TestDFSIO_read_arm" sheetId="5" r:id="rId3"/>
    <sheet name="TestDFSIO_read_riscv" sheetId="10" r:id="rId4"/>
    <sheet name="TestDFSIO_write_arm" sheetId="6" r:id="rId5"/>
    <sheet name="TestDFSIO_write_riscv" sheetId="11" r:id="rId6"/>
    <sheet name="TestDFSIO_read_arm_c1" sheetId="7" r:id="rId7"/>
    <sheet name="TestDFSIO_read_riscv_C1" sheetId="12" r:id="rId8"/>
    <sheet name="TestDFSIO_write_arm_c1" sheetId="8" r:id="rId9"/>
    <sheet name="TestDFSIO_write_riscv_C1" sheetId="13" r:id="rId10"/>
    <sheet name="threadedmapbench-ARM-C1" sheetId="9" r:id="rId11"/>
    <sheet name="threadedmapbench-riscv-C1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<sst xmlns="http://schemas.openxmlformats.org/spreadsheetml/2006/main" count="2480" uniqueCount="451">
  <si>
    <t>函数 / 方法</t>
  </si>
  <si>
    <t>总占比</t>
  </si>
  <si>
    <t>功能说明</t>
  </si>
  <si>
    <t>PhaseChaitin::Split</t>
  </si>
  <si>
    <t>1.75%</t>
  </si>
  <si>
    <t>HotSpot C2：寄存器分配/拷贝消除等（编译期开销）。</t>
  </si>
  <si>
    <t>环境配置</t>
  </si>
  <si>
    <t>__pi_clear_page_[k]</t>
  </si>
  <si>
    <t>1.67%</t>
  </si>
  <si>
    <t>Linux 内存管理：清零/清理物理页等操作。</t>
  </si>
  <si>
    <t>ARM hadoop3.5.0 Java25</t>
  </si>
  <si>
    <t>__memset_kunpeng</t>
  </si>
  <si>
    <t>1.34%</t>
  </si>
  <si>
    <t>内存填充/清零（类似 memset/zero）。</t>
  </si>
  <si>
    <t>测试指令</t>
  </si>
  <si>
    <t>java/util/zip/ZipFile$Source.getEntryPos</t>
  </si>
  <si>
    <t>1.25%</t>
  </si>
  <si>
    <t>Java 标准库方法。</t>
  </si>
  <si>
    <t>Hadoop jar $$HADOOP_TESTS_JAR threadedmapbench -dataSizePerMap 512 -numSpillsPerMap 20 -numMapsPerHost 8</t>
  </si>
  <si>
    <t>PhaseIdealLoop::build_loop_late</t>
  </si>
  <si>
    <t>1.17%</t>
  </si>
  <si>
    <t>HotSpot C2：循环优化与 CFG 分析（编译期开销）。</t>
  </si>
  <si>
    <t>Hadoop配置</t>
  </si>
  <si>
    <t>IndexSetIterator::advance_and_next</t>
  </si>
  <si>
    <t>MAPRED_OPTS="-Dmapreduce.job.maps=$MAPS -Dmapreduce.job.reduces=$REDUCES -Dmapreduce.task.io.sort.mb=256 -Dmapreduce.reduce.shuffle.parallelcopies=16"</t>
  </si>
  <si>
    <t>PhaseChaitin::gather_lrg_masks</t>
  </si>
  <si>
    <t>1.09%</t>
  </si>
  <si>
    <t>测试结果</t>
  </si>
  <si>
    <t>native_queued_spin_lock_slowpath_[k]</t>
  </si>
  <si>
    <t>0.92%</t>
  </si>
  <si>
    <t>Linux 内核自旋锁相关：锁争用/排队/慢路径开销。</t>
  </si>
  <si>
    <t>测试项</t>
  </si>
  <si>
    <t>测试总执行时间(s)</t>
  </si>
  <si>
    <t>总CPU累加时间(s)</t>
  </si>
  <si>
    <t>等效单线程CPU耗时(s)</t>
  </si>
  <si>
    <t>IO耗时估算(s)</t>
  </si>
  <si>
    <t>IO占比</t>
  </si>
  <si>
    <t>CPU占比</t>
  </si>
  <si>
    <t>HDFS写吞吐量(MiB/s)</t>
  </si>
  <si>
    <t>平均IO速率(MiB/s)</t>
  </si>
  <si>
    <t>PhaseIdealLoop::build_loop_tree</t>
  </si>
  <si>
    <t>0.84%</t>
  </si>
  <si>
    <t>sort（1 spill / map）</t>
  </si>
  <si>
    <t>/usr/lib64/libz.so.1.2.13</t>
  </si>
  <si>
    <t>zlib 压缩库相关代码（压缩/解压/校验）。</t>
  </si>
  <si>
    <t>sort（20 spills / map）</t>
  </si>
  <si>
    <t>PhaseChaitin::interfere_with_live</t>
  </si>
  <si>
    <t>0.75%</t>
  </si>
  <si>
    <t>PhaseLive::compute</t>
  </si>
  <si>
    <t>HotSpot C2 编译阶段函数（编译期开销）。</t>
  </si>
  <si>
    <t>NTarjan::DFS</t>
  </si>
  <si>
    <t>0.67%</t>
  </si>
  <si>
    <t>atomic entry points</t>
  </si>
  <si>
    <t>HotSpot 原子操作入口桩代码（为 CAS/原子加减等提供平台相关实现）。</t>
  </si>
  <si>
    <t>ConcurrentHashTable&lt;SymbolTableConfig, (MEMFLAGS)11&gt;::Node* ConcurrentHashTable&lt;SymbolTableConfig, (MEMFLAGS)11&gt;::get_node&lt;SymbolTableLookup&gt;</t>
  </si>
  <si>
    <t>内存拷贝/数据搬运相关路径。</t>
  </si>
  <si>
    <t>el0_svc_[k]</t>
  </si>
  <si>
    <t>Linux 内核函数（调度/内存/网络/文件系统等）。</t>
  </si>
  <si>
    <t>PhaseChaitin::elide_copy</t>
  </si>
  <si>
    <t>0.58%</t>
  </si>
  <si>
    <t>PhaseIterGVN::transform_old</t>
  </si>
  <si>
    <t>0.50%</t>
  </si>
  <si>
    <t>PhaseIdealLoop::build_loop_late_post_work</t>
  </si>
  <si>
    <t>fwd_copy_again</t>
  </si>
  <si>
    <t>Unique_Node_List::remove</t>
  </si>
  <si>
    <t>PhaseLive::add_liveout</t>
  </si>
  <si>
    <t>Arena::contains</t>
  </si>
  <si>
    <t>IndexSet::initialize</t>
  </si>
  <si>
    <t>PhaseIdealLoop::build_loop_early</t>
  </si>
  <si>
    <t>Node_Backward_Iterator::next</t>
  </si>
  <si>
    <t>0.42%</t>
  </si>
  <si>
    <t>PhaseCFG::build_cfg</t>
  </si>
  <si>
    <t>Type::cmp</t>
  </si>
  <si>
    <t>PhaseChaitin::build_ifg_physical</t>
  </si>
  <si>
    <t>InstanceKlass::find_method_index</t>
  </si>
  <si>
    <t>LinearScanWalker::free_collect_inactive_fixed</t>
  </si>
  <si>
    <t>G1ParScanThreadState::trim_queue_to_threshold</t>
  </si>
  <si>
    <t>JVM G1 GC：并行扫描/队列平衡等 GC 工作分配。</t>
  </si>
  <si>
    <t>DebugInformationRecorder::find_sharable_decode_offset</t>
  </si>
  <si>
    <t>0.33%</t>
  </si>
  <si>
    <t>ciObjectFactory::get_metadata</t>
  </si>
  <si>
    <t>PhaseIterGVN::optimize</t>
  </si>
  <si>
    <t>__pthread_mutex_lock@GLIBC_2.17</t>
  </si>
  <si>
    <t>线程同步/阻塞唤醒相关路径（锁竞争或线程调度）。</t>
  </si>
  <si>
    <t>PhaseCFG::sched_call</t>
  </si>
  <si>
    <t>SymbolTable::new_symbol</t>
  </si>
  <si>
    <t>SymbolTable::lookup_shared</t>
  </si>
  <si>
    <t>PhaseIdealLoop::get_ctrl</t>
  </si>
  <si>
    <t>PhaseIdealLoop::build_loop_tree_impl</t>
  </si>
  <si>
    <t>try_to_wake_up_[k]</t>
  </si>
  <si>
    <t>Linux 调度唤醒路径：尝试唤醒睡眠线程/进程。</t>
  </si>
  <si>
    <t>/usr/lib64/libgcc_s-12.so.1</t>
  </si>
  <si>
    <t>GCC 运行时库：异常展开/栈回溯等底层支持。</t>
  </si>
  <si>
    <t>Compile::identify_useful_nodes</t>
  </si>
  <si>
    <t>resource_allocate_bytes</t>
  </si>
  <si>
    <t>InstanceKlass::field</t>
  </si>
  <si>
    <t>NodeHash::hash_find_insert</t>
  </si>
  <si>
    <t>Map/哈希表相关路径（插入/查找/rehash）。</t>
  </si>
  <si>
    <t>SymbolTable::do_lookup</t>
  </si>
  <si>
    <t>java/lang/invoke/VarHandle.checkAccessModeThenIsDirect</t>
  </si>
  <si>
    <t>Java 低层内存/原子操作路径（Unsafe/VarHandle）。</t>
  </si>
  <si>
    <t>java/util/jar/JarFile.getJarEntry</t>
  </si>
  <si>
    <t>来源类型</t>
  </si>
  <si>
    <t>_raw_spin_unlock_irqrestore_[k]</t>
  </si>
  <si>
    <t>6.64%</t>
  </si>
  <si>
    <t>Kernel/OS</t>
  </si>
  <si>
    <t>memset</t>
  </si>
  <si>
    <t>2.15%</t>
  </si>
  <si>
    <t>OpenJDK/Native (low-level)</t>
  </si>
  <si>
    <t>smp_call_function_many_cond_[k]</t>
  </si>
  <si>
    <t>1.91%</t>
  </si>
  <si>
    <t>/usr/lib64/libc.so.6</t>
  </si>
  <si>
    <t>1.54%</t>
  </si>
  <si>
    <t>Native Lib</t>
  </si>
  <si>
    <t>共享库代码路径（本地库/运行时依赖）。</t>
  </si>
  <si>
    <t>__tls_get_addr</t>
  </si>
  <si>
    <t>Unknown</t>
  </si>
  <si>
    <t>（可按完整调用栈上下文进一步细化说明）</t>
  </si>
  <si>
    <t>clear_page_[k]</t>
  </si>
  <si>
    <t>1.39%</t>
  </si>
  <si>
    <t>RISC-V hadoop3.5.0 Java25</t>
  </si>
  <si>
    <t>1.21%</t>
  </si>
  <si>
    <t>OpenJDK (HotSpot)</t>
  </si>
  <si>
    <t>HotSpot JVM/JIT 内部逻辑（编译/运行时支持）。</t>
  </si>
  <si>
    <t>llist_add_batch_[k]</t>
  </si>
  <si>
    <t>0.71%</t>
  </si>
  <si>
    <t>/usr/lib/ld-linux-riscv64-lp64d.so.1</t>
  </si>
  <si>
    <t>0.69%</t>
  </si>
  <si>
    <t>send@plt</t>
  </si>
  <si>
    <t>0.66%</t>
  </si>
  <si>
    <t>ipi_mux_send_mask_[k]</t>
  </si>
  <si>
    <t>0.61%</t>
  </si>
  <si>
    <t>__ctzdi2</t>
  </si>
  <si>
    <t>0.54%</t>
  </si>
  <si>
    <t>阶段</t>
  </si>
  <si>
    <t>测试总执行时间（秒）</t>
  </si>
  <si>
    <t>总CPU累加时间（秒）</t>
  </si>
  <si>
    <t>等效单线程CPU耗时（秒）</t>
  </si>
  <si>
    <t>IO耗时（估算，秒）</t>
  </si>
  <si>
    <t>HDFS 写吞吐量（MiB/s）</t>
  </si>
  <si>
    <t>平均 IO 速率（MiB/s）</t>
  </si>
  <si>
    <t>0.52%</t>
  </si>
  <si>
    <t>sort（1 spill / map，job_…_0071）</t>
  </si>
  <si>
    <t>sort（20 spills / map，job_…_0072）</t>
  </si>
  <si>
    <t>java/util/zip/ZipFile$Source.getEntryNext</t>
  </si>
  <si>
    <t>0.45%</t>
  </si>
  <si>
    <t>OpenJDK (Classlib)</t>
  </si>
  <si>
    <t>Node::Node</t>
  </si>
  <si>
    <t>0.43%</t>
  </si>
  <si>
    <t>inflate_fast</t>
  </si>
  <si>
    <t>0.40%</t>
  </si>
  <si>
    <t>0.38%</t>
  </si>
  <si>
    <t>finish_task_switch.isra.0_[k]</t>
  </si>
  <si>
    <t>0.35%</t>
  </si>
  <si>
    <t>Dict::Insert</t>
  </si>
  <si>
    <t>do_trap_ecall_u_[k]</t>
  </si>
  <si>
    <t>__memcmpeq</t>
  </si>
  <si>
    <t>PhaseChaitin::post_allocate_copy_removal</t>
  </si>
  <si>
    <t>0.31%</t>
  </si>
  <si>
    <t>Matcher::xform</t>
  </si>
  <si>
    <t>0.28%</t>
  </si>
  <si>
    <t>哈希计算/散列相关路径（Map/Key 处理频繁时开销上升）。</t>
  </si>
  <si>
    <t>itable stub</t>
  </si>
  <si>
    <t>MachNode::rematerialize</t>
  </si>
  <si>
    <t>0.26%</t>
  </si>
  <si>
    <t>java/lang/Class.cast</t>
  </si>
  <si>
    <t>0.24%</t>
  </si>
  <si>
    <t>PhaseIterGVN::add_users_of_use_to_worklist</t>
  </si>
  <si>
    <t>BarrierSetC2::compute_liveness_at_stubs</t>
  </si>
  <si>
    <t>java/lang/String.coder</t>
  </si>
  <si>
    <t>JVM G1 GC 相关逻辑（并行扫描/队列平衡等）。</t>
  </si>
  <si>
    <t>0.21%</t>
  </si>
  <si>
    <t>Type::Initialize_shared(Compile*)::{lambda(void const*, void const*)#1}::_FUN</t>
  </si>
  <si>
    <t>vtable stub</t>
  </si>
  <si>
    <t>Node::is_CFG</t>
  </si>
  <si>
    <t>memchr</t>
  </si>
  <si>
    <t>1.96%</t>
  </si>
  <si>
    <t>1.47%</t>
  </si>
  <si>
    <t>0.98%</t>
  </si>
  <si>
    <t>java -cp $HADOOP_HOME/share/hadoop/mapreduce/hadoop-mapreduce-client-jobclient-3.5.0-SNAPSHOT-tests.jar org.apache.hadoop.fs.TestDFSIO -read -nrFiles 10 -fileSize 1000</t>
  </si>
  <si>
    <t>0.86%</t>
  </si>
  <si>
    <t>指标</t>
  </si>
  <si>
    <t>数值</t>
  </si>
  <si>
    <t>0.73%</t>
  </si>
  <si>
    <t>jdk/internal/loader/URLClassPath.getLoader</t>
  </si>
  <si>
    <t>IO 耗时（估算，秒）</t>
  </si>
  <si>
    <t>IO 耗时占总耗时比例</t>
  </si>
  <si>
    <t>CPU 耗时占总耗时比例</t>
  </si>
  <si>
    <t>__GI_memcpy</t>
  </si>
  <si>
    <t>平均 IO 速率（mb/sec）</t>
  </si>
  <si>
    <t>CodeHeap::next_used</t>
  </si>
  <si>
    <t>LinearScan::allocate_registers</t>
  </si>
  <si>
    <t>PhaseAggressiveCoalesce::insert_copies</t>
  </si>
  <si>
    <t>0.49%</t>
  </si>
  <si>
    <t>vmSymbols::find_sid</t>
  </si>
  <si>
    <t>Compile::final_graph_reshaping_walk</t>
  </si>
  <si>
    <t>inflate</t>
  </si>
  <si>
    <t>PhaseIdealLoop::is_dominator</t>
  </si>
  <si>
    <t>ClassFileParser::parse_constant_pool</t>
  </si>
  <si>
    <t>解析/反序列化/配置解析相关路径。</t>
  </si>
  <si>
    <t>_dl_tlsdesc_return</t>
  </si>
  <si>
    <t>LinearScanWalker::alloc_free_reg</t>
  </si>
  <si>
    <t>PhaseIdealLoop::dom_lca_for_get_late_ctrl_internal</t>
  </si>
  <si>
    <t>GraphBuilder::iterate_bytecodes_for_block</t>
  </si>
  <si>
    <t>ClassVerifier::verify_method</t>
  </si>
  <si>
    <t>0.37%</t>
  </si>
  <si>
    <t>java/net/URL.&lt;init&gt;</t>
  </si>
  <si>
    <t>com/ctc/wstx/io/UTF8Reader.read</t>
  </si>
  <si>
    <t>App/3rd-party</t>
  </si>
  <si>
    <t>UTF8Reader 的读取方法：从输入/缓冲读取数据。</t>
  </si>
  <si>
    <t>PhaseChaitin::add_input_to_liveout</t>
  </si>
  <si>
    <t>SymbolTable::do_add_if_needed</t>
  </si>
  <si>
    <t>PhaseCFG::partial_latency_of_defs</t>
  </si>
  <si>
    <t>LinearScan::build_intervals</t>
  </si>
  <si>
    <t>2.72%</t>
  </si>
  <si>
    <t>2.25%</t>
  </si>
  <si>
    <t>1.98%</t>
  </si>
  <si>
    <t>1.90%</t>
  </si>
  <si>
    <t>1.79%</t>
  </si>
  <si>
    <t>1.55%</t>
  </si>
  <si>
    <t>1.52%</t>
  </si>
  <si>
    <t>1.01%</t>
  </si>
  <si>
    <t>0.93%</t>
  </si>
  <si>
    <t>0.89%</t>
  </si>
  <si>
    <t>0.78%</t>
  </si>
  <si>
    <t>0.74%</t>
  </si>
  <si>
    <t>0.70%</t>
  </si>
  <si>
    <t>PhaseIdealLoop::Dominators</t>
  </si>
  <si>
    <t>0.51%</t>
  </si>
  <si>
    <t>0.47%</t>
  </si>
  <si>
    <t>0.39%</t>
  </si>
  <si>
    <t>memcpy</t>
  </si>
  <si>
    <t>内存/数组拷贝优化路径（大量数据搬运时占用 CPU）。</t>
  </si>
  <si>
    <t>PhaseIdealLoop::split_if_with_blocks</t>
  </si>
  <si>
    <t>Dictionary::find</t>
  </si>
  <si>
    <t>Node::clone</t>
  </si>
  <si>
    <t>java/lang/String.isLatin1</t>
  </si>
  <si>
    <t>java/util/zip/ZipFile$Source.getEntryHash</t>
  </si>
  <si>
    <t>PhaseOutput::BuildOopMaps</t>
  </si>
  <si>
    <t>__clzdi2</t>
  </si>
  <si>
    <t>java/lang/StringLatin1.charAt</t>
  </si>
  <si>
    <t>__sched_text_end_[k]</t>
  </si>
  <si>
    <t>0.27%</t>
  </si>
  <si>
    <t>2.44%</t>
  </si>
  <si>
    <t>2.07%</t>
  </si>
  <si>
    <t>1.46%</t>
  </si>
  <si>
    <t>1.22%</t>
  </si>
  <si>
    <t>1.10%</t>
  </si>
  <si>
    <t>java -cp $HADOOP_HOME/share/hadoop/mapreduce/hadoop-mapreduce-client-jobclient-3.5.0-SNAPSHOT-tests.jar org.apache.hadoop.fs.TestDFSIO -write -nrFiles 10 -fileSize 1000</t>
  </si>
  <si>
    <t>0.97%</t>
  </si>
  <si>
    <t>0.85%</t>
  </si>
  <si>
    <t>__pthread_mutex_unlock_usercnt</t>
  </si>
  <si>
    <t>ClassFileParser::parse_constant_pool_entries</t>
  </si>
  <si>
    <t>PhaseIdealLoop::get_late_ctrl_with_anti_dep</t>
  </si>
  <si>
    <t>G1ParScanThreadState::steal_and_trim_queue</t>
  </si>
  <si>
    <t>PhaseIFG::remove_node</t>
  </si>
  <si>
    <t>PhaseIterGVN::remove_globally_dead_node</t>
  </si>
  <si>
    <t>Compile::disconnect_useless_nodes</t>
  </si>
  <si>
    <t>MachNode::ideal_reg</t>
  </si>
  <si>
    <t>java/util/jar/JarFile.getEntry</t>
  </si>
  <si>
    <t>2.91%</t>
  </si>
  <si>
    <t>2.37%</t>
  </si>
  <si>
    <t>1.51%</t>
  </si>
  <si>
    <t>1.16%</t>
  </si>
  <si>
    <t>PhaseIterGVN::add_users_to_worklist</t>
  </si>
  <si>
    <t>Assembler::patch</t>
  </si>
  <si>
    <t>updateBytesCRC32</t>
  </si>
  <si>
    <t>CRC/CRC32C 校验计算（Hadoop 写入常见，可能使用硬件加速）。</t>
  </si>
  <si>
    <t>strcasecmp@plt</t>
  </si>
  <si>
    <t>PhaseGVN::transform_no_reclaim</t>
  </si>
  <si>
    <t>thead_aclint_sswi_ipi_send_[k]</t>
  </si>
  <si>
    <t>2.31%</t>
  </si>
  <si>
    <t>2.08%</t>
  </si>
  <si>
    <t>1.62%</t>
  </si>
  <si>
    <t>jdk/internal/loader/URLClassPath$JarLoader.getResource</t>
  </si>
  <si>
    <t>java指令</t>
  </si>
  <si>
    <t>-XX:+UnlockDiagnosticVMOptions -XX:TieredStopAtLevel=1</t>
  </si>
  <si>
    <t>只使用C1编译器</t>
  </si>
  <si>
    <t>java/util/Arrays.copyOf</t>
  </si>
  <si>
    <t>java/util/concurrent/ConcurrentHashMap.putVal</t>
  </si>
  <si>
    <t>Java 并发库（锁、队列、线程池、原子类等）相关方法。</t>
  </si>
  <si>
    <t>__arch_copy_to_user_[k]</t>
  </si>
  <si>
    <t>Linux 内核用户态/内核态内存拷贝（copy_*_user），常见于 IO/网络读写。</t>
  </si>
  <si>
    <t>ClassFileParser::skip_over_field_signature</t>
  </si>
  <si>
    <t>jdk/internal/util/ArraysSupport.signedHashCode</t>
  </si>
  <si>
    <t>java/util/zip/ZipFile.getEntry</t>
  </si>
  <si>
    <t>java/util/concurrent/ConcurrentHashMap.transfer</t>
  </si>
  <si>
    <t>ClassFileParser::parse_method</t>
  </si>
  <si>
    <t>ObjArrayAllocator::initialize</t>
  </si>
  <si>
    <t>zero_blocks</t>
  </si>
  <si>
    <t>void OopOopIterateBackwardsDispatch&lt;G1ScanEvacuatedObjClosure&gt;::Table::oop_oop_iterate_backwards&lt;InstanceKlass, narrowOop&gt;</t>
  </si>
  <si>
    <t>ObjectMonitor::exit</t>
  </si>
  <si>
    <t>0.46%</t>
  </si>
  <si>
    <t>UTF8::is_legal_utf8</t>
  </si>
  <si>
    <t>GrowableBitMap&lt;ResourceBitMap&gt;::initialize</t>
  </si>
  <si>
    <t>com/ctc/wstx/sr/BasicStreamReader.readTextPrimary</t>
  </si>
  <si>
    <t>BasicStreamReader 的读取方法：从输入/缓冲读取数据。</t>
  </si>
  <si>
    <t>futex_wake_[k]</t>
  </si>
  <si>
    <t>Linux futex：用户态锁的内核慢路径（线程同步/阻塞/唤醒）。</t>
  </si>
  <si>
    <t>jni_GetObjectField</t>
  </si>
  <si>
    <t>monitorexit_nofpu Runtime1 stub</t>
  </si>
  <si>
    <t>futex_q_lock_[k]</t>
  </si>
  <si>
    <t>Interval::split_child_at_op_id</t>
  </si>
  <si>
    <t>ConstMethod::exception_table_length</t>
  </si>
  <si>
    <t>SymbolTable::lookup_only</t>
  </si>
  <si>
    <t>___pthread_cond_timedwait64</t>
  </si>
  <si>
    <t>读取相关路径（可能涉及 IO/缓冲/网络）。</t>
  </si>
  <si>
    <t>java/util/concurrent/ConcurrentHashMap.tabAt</t>
  </si>
  <si>
    <t>com/ctc/wstx/sr/StreamScanner.parseLocalName</t>
  </si>
  <si>
    <t>com/ctc/wstx/util/SymbolTable.findSymbol</t>
  </si>
  <si>
    <t>6.24%</t>
  </si>
  <si>
    <t>3.59%</t>
  </si>
  <si>
    <t>3.01%</t>
  </si>
  <si>
    <t>2.94%</t>
  </si>
  <si>
    <t>2.22%</t>
  </si>
  <si>
    <t>1.94%</t>
  </si>
  <si>
    <t>1.87%</t>
  </si>
  <si>
    <t>1.58%</t>
  </si>
  <si>
    <t>1.00%</t>
  </si>
  <si>
    <t>0.79%</t>
  </si>
  <si>
    <t>0.72%</t>
  </si>
  <si>
    <t>0.65%</t>
  </si>
  <si>
    <t>java/util/zip/ZipFile.ensureOpen</t>
  </si>
  <si>
    <t>0.57%</t>
  </si>
  <si>
    <t>java/lang/StringCoding.countPositives</t>
  </si>
  <si>
    <t>__libc_malloc</t>
  </si>
  <si>
    <t>线程同步/阻塞唤醒相关路径。</t>
  </si>
  <si>
    <t>AccessInternal::PostRuntimeDispatch&lt;G1BarrierSet::AccessBarrier&lt;286822ul, G1BarrierSet&gt;, (AccessInternal::BarrierType)1, 286822ul&gt;::oop_access_barrier</t>
  </si>
  <si>
    <t>java/lang/AbstractStringBuilder.&lt;init&gt;</t>
  </si>
  <si>
    <t>CRC/CRC32C 校验计算（Hadoop 读写常见，可能使用硬件加速）。</t>
  </si>
  <si>
    <t>0.36%</t>
  </si>
  <si>
    <t>jdk/internal/util/ArraysSupport.mismatch</t>
  </si>
  <si>
    <t>StringTable::do_lookup</t>
  </si>
  <si>
    <t>pthread_mutex_lock</t>
  </si>
  <si>
    <t>java/lang/StringUTF16.compress</t>
  </si>
  <si>
    <t>pthread_attr_setstacksize@plt</t>
  </si>
  <si>
    <t>0.29%</t>
  </si>
  <si>
    <t>java/util/jar/JarFile.match</t>
  </si>
  <si>
    <t>java/util/jar/JarFile.getVersionedEntry</t>
  </si>
  <si>
    <t>jbyte_disjoint_arraycopy</t>
  </si>
  <si>
    <t>ValueStack::ValueStack</t>
  </si>
  <si>
    <t>JVM_InternString</t>
  </si>
  <si>
    <t>DefaultMethods::generate_default_methods</t>
  </si>
  <si>
    <t>4.61%</t>
  </si>
  <si>
    <t>3.46%</t>
  </si>
  <si>
    <t>1.61%</t>
  </si>
  <si>
    <t>1.38%</t>
  </si>
  <si>
    <t>1.15%</t>
  </si>
  <si>
    <t>com/ctc/wstx/sr/BasicStreamReader.readEndElem</t>
  </si>
  <si>
    <t>HierarchyVisitor&lt;FindMethodsByErasedSig&gt;::run</t>
  </si>
  <si>
    <t>__GI___libc_malloc</t>
  </si>
  <si>
    <t>org/apache/hadoop/conf/Configuration$Parser.handleStartElement</t>
  </si>
  <si>
    <t>Hadoop</t>
  </si>
  <si>
    <t>Hadoop 框架相关方法（I/O、序列化、配置或任务提交）。</t>
  </si>
  <si>
    <t>ObjAllocator::initialize</t>
  </si>
  <si>
    <t>Dictionary::find_class</t>
  </si>
  <si>
    <t>java/lang/String.&lt;init&gt;</t>
  </si>
  <si>
    <t>Rewriter::rewrite_bytecodes</t>
  </si>
  <si>
    <t>写入相关路径（可能涉及 IO/缓冲/网络）。</t>
  </si>
  <si>
    <t>SharedRuntime::monitor_exit_helper</t>
  </si>
  <si>
    <t>HotSpot 运行时支持函数（数学/调用约定/运行时代码桩等）。</t>
  </si>
  <si>
    <t>NullCheckEliminator::iterate_one</t>
  </si>
  <si>
    <t>G1CodeRootSet::add</t>
  </si>
  <si>
    <t>mas_walk_[k]</t>
  </si>
  <si>
    <t>Rewriter::compute_index_maps</t>
  </si>
  <si>
    <t>methodHandle::~methodHandle</t>
  </si>
  <si>
    <t>org/apache/hadoop/conf/Configuration$Parser.parse</t>
  </si>
  <si>
    <t>5.54%</t>
  </si>
  <si>
    <t>3.81%</t>
  </si>
  <si>
    <t>3.25%</t>
  </si>
  <si>
    <t>2.35%</t>
  </si>
  <si>
    <t>1.80%</t>
  </si>
  <si>
    <t>1.45%</t>
  </si>
  <si>
    <t>1.11%</t>
  </si>
  <si>
    <t>1.04%</t>
  </si>
  <si>
    <t>0.76%</t>
  </si>
  <si>
    <t>0.62%</t>
  </si>
  <si>
    <t>0.55%</t>
  </si>
  <si>
    <t>0.48%</t>
  </si>
  <si>
    <t>__might_resched_[k]</t>
  </si>
  <si>
    <t>java/lang/String.hashCode</t>
  </si>
  <si>
    <t>InstanceKlass::find_local_field</t>
  </si>
  <si>
    <t>StringTable::intern</t>
  </si>
  <si>
    <t>org/apache/hadoop/conf/Configuration$Parser.handleEndElement</t>
  </si>
  <si>
    <t>Hadoop 框架相关方法。</t>
  </si>
  <si>
    <t>BlockListBuilder::BlockListBuilder</t>
  </si>
  <si>
    <t>java/lang/StringBuilder.toString</t>
  </si>
  <si>
    <t>com/ctc/wstx/sr/BasicStreamReader.next</t>
  </si>
  <si>
    <t>ThreadStateTransition::transition_from_native</t>
  </si>
  <si>
    <t>jdk/internal/loader/URLClassPath$JarLoader.ensureOpen</t>
  </si>
  <si>
    <t>g1_post_barrier_slow</t>
  </si>
  <si>
    <t>2.97%</t>
  </si>
  <si>
    <t>2.66%</t>
  </si>
  <si>
    <t>1.56%</t>
  </si>
  <si>
    <t>1.41%</t>
  </si>
  <si>
    <t>$HADOOP_HOME/bin/hadoop jar $HADOOP_TESTS_JAR threadedmapbench -dataSizePerMap 512 -numSpillsPerMap 20 -numMapsPerHost 8</t>
  </si>
  <si>
    <t>0.94%</t>
  </si>
  <si>
    <t>测试总执行时间 (s)</t>
  </si>
  <si>
    <t>总CPU累加时间 (s)</t>
  </si>
  <si>
    <t>等效单线程CPU耗时 (s)</t>
  </si>
  <si>
    <t>IO耗时(估算, s)</t>
  </si>
  <si>
    <t>HDFS 写吞吐量 (MB/s)</t>
  </si>
  <si>
    <t>平均 IO 速率 (MB/s)</t>
  </si>
  <si>
    <t>生成随机输入（job_0034）</t>
  </si>
  <si>
    <t>ValueStack::values_do</t>
  </si>
  <si>
    <t>sort：1 spill / map（job_0035）</t>
  </si>
  <si>
    <t>sort：20 spill / map（job_0036）</t>
  </si>
  <si>
    <t>0.63%</t>
  </si>
  <si>
    <t>rseq_get_rseq_cs.isra.0_[k]</t>
  </si>
  <si>
    <t>java/lang/AbstractStringBuilder.appendChars</t>
  </si>
  <si>
    <t>InstanceKlass::protection_domain</t>
  </si>
  <si>
    <t>ciMethodBlocks::do_analysis</t>
  </si>
  <si>
    <t>bcmp</t>
  </si>
  <si>
    <t>unsigned int UNSIGNED5::read_uint&lt;unsigned char const*, int, UNSIGNED5::ArrayGetSet&lt;unsigned char const*, int&gt; &gt;</t>
  </si>
  <si>
    <t>jdk/internal/misc/Unsafe.allocateUninitializedArray0</t>
  </si>
  <si>
    <t>JVM_GetStackAccessControlContext</t>
  </si>
  <si>
    <t>ClassFileParser::verify_legal_field_name</t>
  </si>
  <si>
    <t>ResourceBitMap::ResourceBitMap</t>
  </si>
  <si>
    <t>non-virtual thunk to LIRGenerator::block_do</t>
  </si>
  <si>
    <t>4.83%</t>
  </si>
  <si>
    <t>3.07%</t>
  </si>
  <si>
    <t>1.76%</t>
  </si>
  <si>
    <t>1.40%</t>
  </si>
  <si>
    <t>1.13%</t>
  </si>
  <si>
    <t>1.08%</t>
  </si>
  <si>
    <t>生成随机输入（job_…_0005）</t>
  </si>
  <si>
    <t>sort：1 spill / map（job_…_0006）</t>
  </si>
  <si>
    <t>0.68%</t>
  </si>
  <si>
    <t>sort：20 spills / map（job_…_0007）</t>
  </si>
  <si>
    <t>0.59%</t>
  </si>
  <si>
    <t>java/util/Arrays.copyOfRange</t>
  </si>
  <si>
    <t>org/apache/hadoop/mapreduce/v2/proto/MRProtos$JobReportProto$Builder.mergeFrom</t>
  </si>
  <si>
    <t>0.41%</t>
  </si>
  <si>
    <t>Map/哈希表相关路径。</t>
  </si>
  <si>
    <t>AccessInternal::PostRuntimeDispatch&lt;G1BarrierSet::AccessBarrier&lt;548964ul, G1BarrierSet&gt;, (AccessInternal::BarrierType)2, 548964ul&gt;::oop_access_barrier</t>
  </si>
  <si>
    <t>I2C/C2I adapters(0xb)</t>
  </si>
  <si>
    <t>0.32%</t>
  </si>
  <si>
    <t>org/apache/hadoop/ipc/Client$Connection$RpcRequestSender.run</t>
  </si>
  <si>
    <t>org/apache/hadoop/mapreduce/Job.monitorAndPrintJob</t>
  </si>
  <si>
    <t>ClassVerifier::verify_invoke_instructions</t>
  </si>
  <si>
    <t>org/apache/hadoop/thirdparty/protobuf/CodedInputStream$ArrayDecoder.readMessage</t>
  </si>
  <si>
    <t>Linux futex：用户态锁的内核慢路径（阻塞/唤醒）。</t>
  </si>
  <si>
    <t>inflate_table</t>
  </si>
  <si>
    <t>0.23%</t>
  </si>
  <si>
    <t>org/apache/hadoop/conf/Configuration$Parser.parseNext</t>
  </si>
  <si>
    <t>java/io/DataOutputStream.write</t>
  </si>
  <si>
    <t>sun/nio/ch/EPollSelectorImpl.processEvents</t>
  </si>
  <si>
    <t>ConstantPool::klass_ref_at</t>
  </si>
  <si>
    <t>java/util/HashMap.getNode</t>
  </si>
  <si>
    <t>org/apache/hadoop/yarn/proto/YarnProtos$ApplicationIdProto$Builder.mergeFrom</t>
  </si>
  <si>
    <t>排序/归并相关路径。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</si>
</sst>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0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10" fontId="2" fillId="0" borderId="0" xfId="0" applyNumberFormat="1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A4" sqref="A4"/>
    </sheetView>
  </sheetViews>
  <sheetFormatPr defaultColWidth="9" defaultRowHeight="14"/>
  <cols>
    <col min="1" max="1" width="43.3636363636364" customWidth="1"/>
    <col min="2" max="2" width="12.6363636363636" customWidth="1"/>
    <col min="3" max="3" width="47.7272727272727" customWidth="1"/>
    <col min="10" max="10" width="10.5454545454545"/>
  </cols>
  <sheetData>
    <row r="1" ht="37" customHeight="1" spans="1:3">
      <c r="A1" s="2" t="s">
        <v>0</v>
      </c>
      <c r="B1" s="2" t="s">
        <v>1</v>
      </c>
      <c r="C1" s="2" t="s">
        <v>2</v>
      </c>
    </row>
    <row r="2" ht="37" customHeight="1" spans="1:6">
      <c r="A2" s="3" t="s">
        <v>3</v>
      </c>
      <c r="B2" s="4" t="s">
        <v>4</v>
      </c>
      <c r="C2" s="3" t="s">
        <v>5</v>
      </c>
      <c r="F2" t="s">
        <v>6</v>
      </c>
    </row>
    <row r="3" ht="37" customHeight="1" spans="1:6">
      <c r="A3" s="3" t="s">
        <v>7</v>
      </c>
      <c r="B3" s="4" t="s">
        <v>8</v>
      </c>
      <c r="C3" s="3" t="s">
        <v>9</v>
      </c>
      <c r="F3" t="s">
        <v>10</v>
      </c>
    </row>
    <row r="4" ht="37" customHeight="1" spans="1:6">
      <c r="A4" s="3" t="s">
        <v>11</v>
      </c>
      <c r="B4" s="4" t="s">
        <v>12</v>
      </c>
      <c r="C4" s="3" t="s">
        <v>13</v>
      </c>
      <c r="F4" t="s">
        <v>14</v>
      </c>
    </row>
    <row r="5" ht="37" customHeight="1" spans="1:6">
      <c r="A5" s="3" t="s">
        <v>15</v>
      </c>
      <c r="B5" s="4" t="s">
        <v>16</v>
      </c>
      <c r="C5" s="3" t="s">
        <v>17</v>
      </c>
      <c r="F5" t="s">
        <v>18</v>
      </c>
    </row>
    <row r="6" ht="37" customHeight="1" spans="1:6">
      <c r="A6" s="3" t="s">
        <v>19</v>
      </c>
      <c r="B6" s="4" t="s">
        <v>20</v>
      </c>
      <c r="C6" s="3" t="s">
        <v>21</v>
      </c>
      <c r="F6" t="s">
        <v>22</v>
      </c>
    </row>
    <row r="7" ht="37" customHeight="1" spans="1:6">
      <c r="A7" s="3" t="s">
        <v>23</v>
      </c>
      <c r="B7" s="4" t="s">
        <v>20</v>
      </c>
      <c r="C7" s="3"/>
      <c r="F7" t="s">
        <v>24</v>
      </c>
    </row>
    <row r="8" ht="37" customHeight="1" spans="1:6">
      <c r="A8" s="3" t="s">
        <v>25</v>
      </c>
      <c r="B8" s="4" t="s">
        <v>26</v>
      </c>
      <c r="C8" s="3" t="s">
        <v>5</v>
      </c>
      <c r="F8" t="s">
        <v>27</v>
      </c>
    </row>
    <row r="9" ht="54" customHeight="1" spans="1:14">
      <c r="A9" s="3" t="s">
        <v>28</v>
      </c>
      <c r="B9" s="4" t="s">
        <v>29</v>
      </c>
      <c r="C9" s="3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35</v>
      </c>
      <c r="K9" s="2" t="s">
        <v>36</v>
      </c>
      <c r="L9" s="2" t="s">
        <v>37</v>
      </c>
      <c r="M9" s="2" t="s">
        <v>38</v>
      </c>
      <c r="N9" s="2" t="s">
        <v>39</v>
      </c>
    </row>
    <row r="10" ht="65" customHeight="1" spans="1:14">
      <c r="A10" s="3" t="s">
        <v>40</v>
      </c>
      <c r="B10" s="4" t="s">
        <v>41</v>
      </c>
      <c r="C10" s="3" t="s">
        <v>21</v>
      </c>
      <c r="F10" s="7" t="s">
        <v>42</v>
      </c>
      <c r="G10" s="7">
        <v>513.707</v>
      </c>
      <c r="H10" s="7">
        <v>1705.3</v>
      </c>
      <c r="I10" s="7">
        <v>1705.3</v>
      </c>
      <c r="J10" s="7">
        <f>0.045*7288.208</f>
        <v>327.96936</v>
      </c>
      <c r="K10" s="11">
        <f>J10/(J10+H10)</f>
        <v>0.161301481472184</v>
      </c>
      <c r="L10" s="11">
        <f>1-K10</f>
        <v>0.838698518527816</v>
      </c>
      <c r="M10" s="7">
        <v>14.355</v>
      </c>
      <c r="N10" s="7">
        <v>88.516</v>
      </c>
    </row>
    <row r="11" ht="67" customHeight="1" spans="1:14">
      <c r="A11" s="3" t="s">
        <v>43</v>
      </c>
      <c r="B11" s="4" t="s">
        <v>41</v>
      </c>
      <c r="C11" s="3" t="s">
        <v>44</v>
      </c>
      <c r="F11" s="7" t="s">
        <v>45</v>
      </c>
      <c r="G11" s="7">
        <v>495.57</v>
      </c>
      <c r="H11" s="7">
        <v>1683.09</v>
      </c>
      <c r="I11" s="7">
        <v>1683.09</v>
      </c>
      <c r="J11" s="7">
        <f>0.045*7191.912</f>
        <v>323.63604</v>
      </c>
      <c r="K11" s="11">
        <f>J11/(J11+H11)</f>
        <v>0.161275646774385</v>
      </c>
      <c r="L11" s="11">
        <f>1-K11</f>
        <v>0.838724353225615</v>
      </c>
      <c r="M11" s="7">
        <v>14.88</v>
      </c>
      <c r="N11" s="7">
        <v>108.098</v>
      </c>
    </row>
    <row r="12" ht="37" customHeight="1" spans="1:3">
      <c r="A12" s="3" t="s">
        <v>46</v>
      </c>
      <c r="B12" s="4" t="s">
        <v>47</v>
      </c>
      <c r="C12" s="3" t="s">
        <v>5</v>
      </c>
    </row>
    <row r="13" ht="37" customHeight="1" spans="1:3">
      <c r="A13" s="3" t="s">
        <v>48</v>
      </c>
      <c r="B13" s="4" t="s">
        <v>47</v>
      </c>
      <c r="C13" s="3" t="s">
        <v>49</v>
      </c>
    </row>
    <row r="14" ht="37" customHeight="1" spans="1:3">
      <c r="A14" s="3" t="s">
        <v>50</v>
      </c>
      <c r="B14" s="4" t="s">
        <v>51</v>
      </c>
      <c r="C14" s="3"/>
    </row>
    <row r="15" ht="37" customHeight="1" spans="1:3">
      <c r="A15" s="3" t="s">
        <v>52</v>
      </c>
      <c r="B15" s="4" t="s">
        <v>51</v>
      </c>
      <c r="C15" s="3" t="s">
        <v>53</v>
      </c>
    </row>
    <row r="16" ht="37" customHeight="1" spans="1:3">
      <c r="A16" s="3" t="s">
        <v>54</v>
      </c>
      <c r="B16" s="4" t="s">
        <v>51</v>
      </c>
      <c r="C16" s="3" t="s">
        <v>55</v>
      </c>
    </row>
    <row r="17" ht="37" customHeight="1" spans="1:3">
      <c r="A17" s="3" t="s">
        <v>56</v>
      </c>
      <c r="B17" s="4" t="s">
        <v>51</v>
      </c>
      <c r="C17" s="3" t="s">
        <v>57</v>
      </c>
    </row>
    <row r="18" ht="37" customHeight="1" spans="1:3">
      <c r="A18" s="3" t="s">
        <v>58</v>
      </c>
      <c r="B18" s="4" t="s">
        <v>59</v>
      </c>
      <c r="C18" s="3" t="s">
        <v>5</v>
      </c>
    </row>
    <row r="19" ht="37" customHeight="1" spans="1:3">
      <c r="A19" s="3" t="s">
        <v>60</v>
      </c>
      <c r="B19" s="4" t="s">
        <v>61</v>
      </c>
      <c r="C19" s="3" t="s">
        <v>49</v>
      </c>
    </row>
    <row r="20" ht="37" customHeight="1" spans="1:3">
      <c r="A20" s="3" t="s">
        <v>62</v>
      </c>
      <c r="B20" s="4" t="s">
        <v>61</v>
      </c>
      <c r="C20" s="3" t="s">
        <v>21</v>
      </c>
    </row>
    <row r="21" ht="37" customHeight="1" spans="1:3">
      <c r="A21" s="3" t="s">
        <v>63</v>
      </c>
      <c r="B21" s="4" t="s">
        <v>61</v>
      </c>
      <c r="C21" s="3" t="s">
        <v>55</v>
      </c>
    </row>
    <row r="22" ht="37" customHeight="1" spans="1:3">
      <c r="A22" s="3" t="s">
        <v>64</v>
      </c>
      <c r="B22" s="4" t="s">
        <v>61</v>
      </c>
      <c r="C22" s="3"/>
    </row>
    <row r="23" ht="37" customHeight="1" spans="1:3">
      <c r="A23" s="3" t="s">
        <v>65</v>
      </c>
      <c r="B23" s="4" t="s">
        <v>61</v>
      </c>
      <c r="C23" s="3" t="s">
        <v>49</v>
      </c>
    </row>
    <row r="24" ht="37" customHeight="1" spans="1:3">
      <c r="A24" s="3" t="s">
        <v>66</v>
      </c>
      <c r="B24" s="4" t="s">
        <v>61</v>
      </c>
      <c r="C24" s="3"/>
    </row>
    <row r="25" ht="37" customHeight="1" spans="1:3">
      <c r="A25" s="3" t="s">
        <v>67</v>
      </c>
      <c r="B25" s="4" t="s">
        <v>61</v>
      </c>
      <c r="C25" s="3"/>
    </row>
    <row r="26" ht="37" customHeight="1" spans="1:3">
      <c r="A26" s="3" t="s">
        <v>68</v>
      </c>
      <c r="B26" s="4" t="s">
        <v>61</v>
      </c>
      <c r="C26" s="3" t="s">
        <v>21</v>
      </c>
    </row>
    <row r="27" ht="37" customHeight="1" spans="1:3">
      <c r="A27" s="3" t="s">
        <v>69</v>
      </c>
      <c r="B27" s="4" t="s">
        <v>70</v>
      </c>
      <c r="C27" s="3"/>
    </row>
    <row r="28" ht="37" customHeight="1" spans="1:3">
      <c r="A28" s="3" t="s">
        <v>71</v>
      </c>
      <c r="B28" s="4" t="s">
        <v>70</v>
      </c>
      <c r="C28" s="3" t="s">
        <v>49</v>
      </c>
    </row>
    <row r="29" ht="37" customHeight="1" spans="1:3">
      <c r="A29" s="3" t="s">
        <v>72</v>
      </c>
      <c r="B29" s="4" t="s">
        <v>70</v>
      </c>
      <c r="C29" s="3"/>
    </row>
    <row r="30" ht="37" customHeight="1" spans="1:3">
      <c r="A30" s="3" t="s">
        <v>73</v>
      </c>
      <c r="B30" s="4" t="s">
        <v>70</v>
      </c>
      <c r="C30" s="3" t="s">
        <v>5</v>
      </c>
    </row>
    <row r="31" ht="37" customHeight="1" spans="1:3">
      <c r="A31" s="3" t="s">
        <v>74</v>
      </c>
      <c r="B31" s="4" t="s">
        <v>70</v>
      </c>
      <c r="C31" s="3"/>
    </row>
    <row r="32" ht="37" customHeight="1" spans="1:3">
      <c r="A32" s="3" t="s">
        <v>75</v>
      </c>
      <c r="B32" s="4" t="s">
        <v>70</v>
      </c>
      <c r="C32" s="3"/>
    </row>
    <row r="33" ht="37" customHeight="1" spans="1:3">
      <c r="A33" s="3" t="s">
        <v>76</v>
      </c>
      <c r="B33" s="4" t="s">
        <v>70</v>
      </c>
      <c r="C33" s="3" t="s">
        <v>77</v>
      </c>
    </row>
    <row r="34" ht="37" customHeight="1" spans="1:3">
      <c r="A34" s="3" t="s">
        <v>78</v>
      </c>
      <c r="B34" s="4" t="s">
        <v>79</v>
      </c>
      <c r="C34" s="3"/>
    </row>
    <row r="35" ht="37" customHeight="1" spans="1:3">
      <c r="A35" s="3" t="s">
        <v>80</v>
      </c>
      <c r="B35" s="4" t="s">
        <v>79</v>
      </c>
      <c r="C35" s="3"/>
    </row>
    <row r="36" ht="37" customHeight="1" spans="1:3">
      <c r="A36" s="3" t="s">
        <v>81</v>
      </c>
      <c r="B36" s="4" t="s">
        <v>79</v>
      </c>
      <c r="C36" s="3" t="s">
        <v>49</v>
      </c>
    </row>
    <row r="37" ht="37" customHeight="1" spans="1:3">
      <c r="A37" s="3" t="s">
        <v>82</v>
      </c>
      <c r="B37" s="4" t="s">
        <v>79</v>
      </c>
      <c r="C37" s="3" t="s">
        <v>83</v>
      </c>
    </row>
    <row r="38" ht="37" customHeight="1" spans="1:3">
      <c r="A38" s="3" t="s">
        <v>84</v>
      </c>
      <c r="B38" s="4" t="s">
        <v>79</v>
      </c>
      <c r="C38" s="3" t="s">
        <v>49</v>
      </c>
    </row>
    <row r="39" ht="37" customHeight="1" spans="1:3">
      <c r="A39" s="3" t="s">
        <v>85</v>
      </c>
      <c r="B39" s="4" t="s">
        <v>79</v>
      </c>
      <c r="C39" s="3"/>
    </row>
    <row r="40" ht="37" customHeight="1" spans="1:3">
      <c r="A40" s="3" t="s">
        <v>86</v>
      </c>
      <c r="B40" s="4" t="s">
        <v>79</v>
      </c>
      <c r="C40" s="3"/>
    </row>
    <row r="41" ht="37" customHeight="1" spans="1:3">
      <c r="A41" s="3" t="s">
        <v>87</v>
      </c>
      <c r="B41" s="4" t="s">
        <v>79</v>
      </c>
      <c r="C41" s="3" t="s">
        <v>21</v>
      </c>
    </row>
    <row r="42" ht="37" customHeight="1" spans="1:3">
      <c r="A42" s="3" t="s">
        <v>88</v>
      </c>
      <c r="B42" s="4" t="s">
        <v>79</v>
      </c>
      <c r="C42" s="3" t="s">
        <v>21</v>
      </c>
    </row>
    <row r="43" ht="37" customHeight="1" spans="1:3">
      <c r="A43" s="3" t="s">
        <v>89</v>
      </c>
      <c r="B43" s="4" t="s">
        <v>79</v>
      </c>
      <c r="C43" s="3" t="s">
        <v>90</v>
      </c>
    </row>
    <row r="44" ht="37" customHeight="1" spans="1:3">
      <c r="A44" s="3" t="s">
        <v>91</v>
      </c>
      <c r="B44" s="4" t="s">
        <v>79</v>
      </c>
      <c r="C44" s="3" t="s">
        <v>92</v>
      </c>
    </row>
    <row r="45" ht="37" customHeight="1" spans="1:3">
      <c r="A45" s="3" t="s">
        <v>93</v>
      </c>
      <c r="B45" s="4" t="s">
        <v>79</v>
      </c>
      <c r="C45" s="3"/>
    </row>
    <row r="46" ht="37" customHeight="1" spans="1:3">
      <c r="A46" s="3" t="s">
        <v>94</v>
      </c>
      <c r="B46" s="4" t="s">
        <v>79</v>
      </c>
      <c r="C46" s="3"/>
    </row>
    <row r="47" ht="37" customHeight="1" spans="1:3">
      <c r="A47" s="3" t="s">
        <v>95</v>
      </c>
      <c r="B47" s="4" t="s">
        <v>79</v>
      </c>
      <c r="C47" s="3"/>
    </row>
    <row r="48" ht="37" customHeight="1" spans="1:3">
      <c r="A48" s="3" t="s">
        <v>96</v>
      </c>
      <c r="B48" s="4" t="s">
        <v>79</v>
      </c>
      <c r="C48" s="3" t="s">
        <v>97</v>
      </c>
    </row>
    <row r="49" ht="37" customHeight="1" spans="1:3">
      <c r="A49" s="3" t="s">
        <v>98</v>
      </c>
      <c r="B49" s="4" t="s">
        <v>79</v>
      </c>
      <c r="C49" s="3"/>
    </row>
    <row r="50" ht="37" customHeight="1" spans="1:3">
      <c r="A50" s="3" t="s">
        <v>99</v>
      </c>
      <c r="B50" s="4" t="s">
        <v>79</v>
      </c>
      <c r="C50" s="3" t="s">
        <v>100</v>
      </c>
    </row>
    <row r="51" ht="37" customHeight="1" spans="1:3">
      <c r="A51" s="3" t="s">
        <v>101</v>
      </c>
      <c r="B51" s="4" t="s">
        <v>79</v>
      </c>
      <c r="C51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workbookViewId="0">
      <selection activeCell="C2" sqref="C2:C23"/>
    </sheetView>
  </sheetViews>
  <sheetFormatPr defaultColWidth="8.72727272727273" defaultRowHeight="14"/>
  <cols>
    <col min="1" max="1" width="24.9090909090909" customWidth="1"/>
    <col min="2" max="2" width="11.2727272727273" customWidth="1"/>
    <col min="3" max="3" width="42.0909090909091" customWidth="1"/>
    <col min="4" max="4" width="24.2727272727273" customWidth="1"/>
    <col min="6" max="7" width="9.54545454545454"/>
    <col min="9" max="10" width="10.5454545454545"/>
  </cols>
  <sheetData>
    <row r="1" ht="18" customHeight="1" spans="1:4">
      <c r="A1" s="16" t="s">
        <v>0</v>
      </c>
      <c r="B1" s="16" t="s">
        <v>1</v>
      </c>
      <c r="C1" s="16" t="s">
        <v>102</v>
      </c>
      <c r="D1" s="16" t="s">
        <v>2</v>
      </c>
    </row>
    <row r="2" ht="28" customHeight="1" spans="1:4">
      <c r="A2" s="17" t="s">
        <v>103</v>
      </c>
      <c r="B2" s="18" t="s">
        <v>104</v>
      </c>
      <c r="C2" s="18" t="s">
        <v>105</v>
      </c>
      <c r="D2" s="17" t="s">
        <v>57</v>
      </c>
    </row>
    <row r="3" ht="18" customHeight="1" spans="1:4">
      <c r="A3" s="17" t="s">
        <v>106</v>
      </c>
      <c r="B3" s="18" t="s">
        <v>107</v>
      </c>
      <c r="C3" s="18" t="s">
        <v>108</v>
      </c>
      <c r="D3" s="17" t="s">
        <v>13</v>
      </c>
    </row>
    <row r="4" ht="18" customHeight="1" spans="1:4">
      <c r="A4" s="17" t="s">
        <v>109</v>
      </c>
      <c r="B4" s="18" t="s">
        <v>110</v>
      </c>
      <c r="C4" s="18" t="s">
        <v>105</v>
      </c>
      <c r="D4" s="17" t="s">
        <v>57</v>
      </c>
    </row>
    <row r="5" ht="18" customHeight="1" spans="1:4">
      <c r="A5" s="17" t="s">
        <v>111</v>
      </c>
      <c r="B5" s="18" t="s">
        <v>112</v>
      </c>
      <c r="C5" s="18" t="s">
        <v>113</v>
      </c>
      <c r="D5" s="17" t="s">
        <v>114</v>
      </c>
    </row>
    <row r="6" ht="18" customHeight="1" spans="1:6">
      <c r="A6" s="17" t="s">
        <v>115</v>
      </c>
      <c r="B6" s="18" t="s">
        <v>112</v>
      </c>
      <c r="C6" s="18" t="s">
        <v>116</v>
      </c>
      <c r="D6" s="17" t="s">
        <v>117</v>
      </c>
      <c r="F6" t="s">
        <v>6</v>
      </c>
    </row>
    <row r="7" ht="18" customHeight="1" spans="1:6">
      <c r="A7" s="17" t="s">
        <v>118</v>
      </c>
      <c r="B7" s="18" t="s">
        <v>119</v>
      </c>
      <c r="C7" s="18" t="s">
        <v>105</v>
      </c>
      <c r="D7" s="17" t="s">
        <v>57</v>
      </c>
      <c r="F7" t="s">
        <v>120</v>
      </c>
    </row>
    <row r="8" ht="18" customHeight="1" spans="1:6">
      <c r="A8" s="17" t="s">
        <v>3</v>
      </c>
      <c r="B8" s="18" t="s">
        <v>121</v>
      </c>
      <c r="C8" s="18" t="s">
        <v>122</v>
      </c>
      <c r="D8" s="17" t="s">
        <v>123</v>
      </c>
      <c r="F8" t="s">
        <v>14</v>
      </c>
    </row>
    <row r="9" ht="18" customHeight="1" spans="1:6">
      <c r="A9" s="17" t="s">
        <v>124</v>
      </c>
      <c r="B9" s="18" t="s">
        <v>125</v>
      </c>
      <c r="C9" s="18" t="s">
        <v>105</v>
      </c>
      <c r="D9" s="17" t="s">
        <v>57</v>
      </c>
      <c r="F9" t="s">
        <v>18</v>
      </c>
    </row>
    <row r="10" ht="18" customHeight="1" spans="1:6">
      <c r="A10" s="17" t="s">
        <v>126</v>
      </c>
      <c r="B10" s="18" t="s">
        <v>127</v>
      </c>
      <c r="C10" s="18" t="s">
        <v>113</v>
      </c>
      <c r="D10" s="17" t="s">
        <v>114</v>
      </c>
      <c r="F10" t="s">
        <v>22</v>
      </c>
    </row>
    <row r="11" ht="18" customHeight="1" spans="1:6">
      <c r="A11" s="17" t="s">
        <v>128</v>
      </c>
      <c r="B11" s="18" t="s">
        <v>129</v>
      </c>
      <c r="C11" s="18" t="s">
        <v>116</v>
      </c>
      <c r="D11" s="17" t="s">
        <v>117</v>
      </c>
      <c r="F11" t="s">
        <v>24</v>
      </c>
    </row>
    <row r="12" ht="18" customHeight="1" spans="1:6">
      <c r="A12" s="17" t="s">
        <v>130</v>
      </c>
      <c r="B12" s="18" t="s">
        <v>131</v>
      </c>
      <c r="C12" s="18" t="s">
        <v>105</v>
      </c>
      <c r="D12" s="17" t="s">
        <v>57</v>
      </c>
      <c r="F12" t="s">
        <v>27</v>
      </c>
    </row>
    <row r="13" ht="36" customHeight="1" spans="1:14">
      <c r="A13" s="17" t="s">
        <v>132</v>
      </c>
      <c r="B13" s="18" t="s">
        <v>133</v>
      </c>
      <c r="C13" s="18" t="s">
        <v>116</v>
      </c>
      <c r="D13" s="17" t="s">
        <v>117</v>
      </c>
      <c r="F13" s="2" t="s">
        <v>134</v>
      </c>
      <c r="G13" s="2" t="s">
        <v>135</v>
      </c>
      <c r="H13" s="2" t="s">
        <v>136</v>
      </c>
      <c r="I13" s="2" t="s">
        <v>137</v>
      </c>
      <c r="J13" s="2" t="s">
        <v>138</v>
      </c>
      <c r="K13" s="2" t="s">
        <v>36</v>
      </c>
      <c r="L13" s="2" t="s">
        <v>37</v>
      </c>
      <c r="M13" s="2" t="s">
        <v>139</v>
      </c>
      <c r="N13" s="2" t="s">
        <v>140</v>
      </c>
    </row>
    <row r="14" ht="18" customHeight="1" spans="1:14">
      <c r="A14" s="17" t="s">
        <v>58</v>
      </c>
      <c r="B14" s="18" t="s">
        <v>141</v>
      </c>
      <c r="C14" s="18" t="s">
        <v>122</v>
      </c>
      <c r="D14" s="17" t="s">
        <v>123</v>
      </c>
      <c r="F14" s="7" t="s">
        <v>142</v>
      </c>
      <c r="G14" s="7">
        <v>966.508</v>
      </c>
      <c r="H14" s="7">
        <v>3010.75</v>
      </c>
      <c r="I14" s="7">
        <v>3010.75</v>
      </c>
      <c r="J14" s="7">
        <f>0.045*13370.846</f>
        <v>601.68807</v>
      </c>
      <c r="K14" s="11">
        <f>J14/(I14+J14)</f>
        <v>0.166560106593052</v>
      </c>
      <c r="L14" s="11">
        <f>1-K14</f>
        <v>0.833439893406948</v>
      </c>
      <c r="M14" s="7">
        <v>7.63</v>
      </c>
      <c r="N14" s="7">
        <v>47.047</v>
      </c>
    </row>
    <row r="15" ht="18" customHeight="1" spans="1:14">
      <c r="A15" s="17" t="s">
        <v>19</v>
      </c>
      <c r="B15" s="18" t="s">
        <v>141</v>
      </c>
      <c r="C15" s="18" t="s">
        <v>122</v>
      </c>
      <c r="D15" s="17" t="s">
        <v>123</v>
      </c>
      <c r="F15" s="7" t="s">
        <v>143</v>
      </c>
      <c r="G15" s="7">
        <v>1008.705</v>
      </c>
      <c r="H15" s="7">
        <v>3209.81</v>
      </c>
      <c r="I15" s="7">
        <v>3209.81</v>
      </c>
      <c r="J15" s="7">
        <f>0.045*13370.846</f>
        <v>601.68807</v>
      </c>
      <c r="K15" s="11">
        <f>J15/(I15+J15)</f>
        <v>0.157861307798065</v>
      </c>
      <c r="L15" s="11">
        <f>1-K15</f>
        <v>0.842138692201935</v>
      </c>
      <c r="M15" s="7">
        <v>7.311</v>
      </c>
      <c r="N15" s="7">
        <v>53.108</v>
      </c>
    </row>
    <row r="16" ht="18" customHeight="1" spans="1:4">
      <c r="A16" s="17" t="s">
        <v>68</v>
      </c>
      <c r="B16" s="18" t="s">
        <v>61</v>
      </c>
      <c r="C16" s="18" t="s">
        <v>122</v>
      </c>
      <c r="D16" s="17" t="s">
        <v>123</v>
      </c>
    </row>
    <row r="17" ht="18" customHeight="1" spans="1:4">
      <c r="A17" s="17" t="s">
        <v>144</v>
      </c>
      <c r="B17" s="18" t="s">
        <v>145</v>
      </c>
      <c r="C17" s="18" t="s">
        <v>146</v>
      </c>
      <c r="D17" s="17" t="s">
        <v>17</v>
      </c>
    </row>
    <row r="18" ht="18" customHeight="1" spans="1:4">
      <c r="A18" s="17" t="s">
        <v>147</v>
      </c>
      <c r="B18" s="18" t="s">
        <v>148</v>
      </c>
      <c r="C18" s="18" t="s">
        <v>122</v>
      </c>
      <c r="D18" s="17" t="s">
        <v>117</v>
      </c>
    </row>
    <row r="19" ht="18" customHeight="1" spans="1:4">
      <c r="A19" s="17" t="s">
        <v>94</v>
      </c>
      <c r="B19" s="18" t="s">
        <v>148</v>
      </c>
      <c r="C19" s="18" t="s">
        <v>116</v>
      </c>
      <c r="D19" s="17" t="s">
        <v>117</v>
      </c>
    </row>
    <row r="20" ht="18" customHeight="1" spans="1:4">
      <c r="A20" s="17" t="s">
        <v>149</v>
      </c>
      <c r="B20" s="18" t="s">
        <v>148</v>
      </c>
      <c r="C20" s="18" t="s">
        <v>116</v>
      </c>
      <c r="D20" s="17" t="s">
        <v>117</v>
      </c>
    </row>
    <row r="21" ht="18" customHeight="1" spans="1:4">
      <c r="A21" s="17" t="s">
        <v>25</v>
      </c>
      <c r="B21" s="18" t="s">
        <v>150</v>
      </c>
      <c r="C21" s="18" t="s">
        <v>122</v>
      </c>
      <c r="D21" s="17" t="s">
        <v>123</v>
      </c>
    </row>
    <row r="22" ht="18" customHeight="1" spans="1:4">
      <c r="A22" s="17" t="s">
        <v>62</v>
      </c>
      <c r="B22" s="18" t="s">
        <v>151</v>
      </c>
      <c r="C22" s="18" t="s">
        <v>122</v>
      </c>
      <c r="D22" s="17" t="s">
        <v>123</v>
      </c>
    </row>
    <row r="23" ht="18" customHeight="1" spans="1:4">
      <c r="A23" s="17" t="s">
        <v>65</v>
      </c>
      <c r="B23" s="18" t="s">
        <v>151</v>
      </c>
      <c r="C23" s="18" t="s">
        <v>122</v>
      </c>
      <c r="D23" s="17" t="s">
        <v>123</v>
      </c>
    </row>
    <row r="24" ht="18" customHeight="1" spans="1:4">
      <c r="A24" s="17" t="s">
        <v>15</v>
      </c>
      <c r="B24" s="18" t="s">
        <v>151</v>
      </c>
      <c r="C24" s="18" t="s">
        <v>146</v>
      </c>
      <c r="D24" s="17" t="s">
        <v>17</v>
      </c>
    </row>
    <row r="25" ht="18" customHeight="1" spans="1:4">
      <c r="A25" s="17" t="s">
        <v>152</v>
      </c>
      <c r="B25" s="18" t="s">
        <v>153</v>
      </c>
      <c r="C25" s="18" t="s">
        <v>105</v>
      </c>
      <c r="D25" s="17" t="s">
        <v>57</v>
      </c>
    </row>
    <row r="26" ht="18" customHeight="1" spans="1:4">
      <c r="A26" s="17" t="s">
        <v>86</v>
      </c>
      <c r="B26" s="18" t="s">
        <v>79</v>
      </c>
      <c r="C26" s="18" t="s">
        <v>122</v>
      </c>
      <c r="D26" s="17" t="s">
        <v>117</v>
      </c>
    </row>
    <row r="27" ht="18" customHeight="1" spans="1:4">
      <c r="A27" s="17" t="s">
        <v>154</v>
      </c>
      <c r="B27" s="18" t="s">
        <v>79</v>
      </c>
      <c r="C27" s="18" t="s">
        <v>122</v>
      </c>
      <c r="D27" s="17" t="s">
        <v>117</v>
      </c>
    </row>
    <row r="28" ht="18" customHeight="1" spans="1:4">
      <c r="A28" s="17" t="s">
        <v>155</v>
      </c>
      <c r="B28" s="18" t="s">
        <v>79</v>
      </c>
      <c r="C28" s="18" t="s">
        <v>105</v>
      </c>
      <c r="D28" s="17" t="s">
        <v>57</v>
      </c>
    </row>
    <row r="29" ht="18" customHeight="1" spans="1:4">
      <c r="A29" s="17" t="s">
        <v>156</v>
      </c>
      <c r="B29" s="18" t="s">
        <v>79</v>
      </c>
      <c r="C29" s="18" t="s">
        <v>116</v>
      </c>
      <c r="D29" s="17" t="s">
        <v>117</v>
      </c>
    </row>
    <row r="30" ht="18" customHeight="1" spans="1:4">
      <c r="A30" s="17" t="s">
        <v>157</v>
      </c>
      <c r="B30" s="18" t="s">
        <v>158</v>
      </c>
      <c r="C30" s="18" t="s">
        <v>122</v>
      </c>
      <c r="D30" s="17" t="s">
        <v>123</v>
      </c>
    </row>
    <row r="31" ht="18" customHeight="1" spans="1:4">
      <c r="A31" s="17" t="s">
        <v>48</v>
      </c>
      <c r="B31" s="18" t="s">
        <v>158</v>
      </c>
      <c r="C31" s="18" t="s">
        <v>122</v>
      </c>
      <c r="D31" s="17" t="s">
        <v>123</v>
      </c>
    </row>
    <row r="32" ht="18" customHeight="1" spans="1:4">
      <c r="A32" s="17" t="s">
        <v>159</v>
      </c>
      <c r="B32" s="18" t="s">
        <v>160</v>
      </c>
      <c r="C32" s="18" t="s">
        <v>122</v>
      </c>
      <c r="D32" s="17" t="s">
        <v>117</v>
      </c>
    </row>
    <row r="33" ht="18" customHeight="1" spans="1:4">
      <c r="A33" s="17" t="s">
        <v>74</v>
      </c>
      <c r="B33" s="18" t="s">
        <v>160</v>
      </c>
      <c r="C33" s="18" t="s">
        <v>122</v>
      </c>
      <c r="D33" s="17" t="s">
        <v>117</v>
      </c>
    </row>
    <row r="34" ht="18" customHeight="1" spans="1:4">
      <c r="A34" s="17" t="s">
        <v>98</v>
      </c>
      <c r="B34" s="18" t="s">
        <v>160</v>
      </c>
      <c r="C34" s="18" t="s">
        <v>122</v>
      </c>
      <c r="D34" s="17" t="s">
        <v>117</v>
      </c>
    </row>
    <row r="35" ht="18" customHeight="1" spans="1:4">
      <c r="A35" s="17" t="s">
        <v>96</v>
      </c>
      <c r="B35" s="18" t="s">
        <v>160</v>
      </c>
      <c r="C35" s="18" t="s">
        <v>122</v>
      </c>
      <c r="D35" s="17" t="s">
        <v>161</v>
      </c>
    </row>
    <row r="36" ht="18" customHeight="1" spans="1:4">
      <c r="A36" s="17" t="s">
        <v>162</v>
      </c>
      <c r="B36" s="18" t="s">
        <v>160</v>
      </c>
      <c r="C36" s="18" t="s">
        <v>116</v>
      </c>
      <c r="D36" s="17" t="s">
        <v>117</v>
      </c>
    </row>
    <row r="37" ht="18" customHeight="1" spans="1:4">
      <c r="A37" s="17" t="s">
        <v>163</v>
      </c>
      <c r="B37" s="18" t="s">
        <v>164</v>
      </c>
      <c r="C37" s="18" t="s">
        <v>122</v>
      </c>
      <c r="D37" s="17" t="s">
        <v>117</v>
      </c>
    </row>
    <row r="38" ht="18" customHeight="1" spans="1:4">
      <c r="A38" s="17" t="s">
        <v>165</v>
      </c>
      <c r="B38" s="18" t="s">
        <v>164</v>
      </c>
      <c r="C38" s="18" t="s">
        <v>146</v>
      </c>
      <c r="D38" s="17" t="s">
        <v>17</v>
      </c>
    </row>
    <row r="39" ht="18" customHeight="1" spans="1:4">
      <c r="A39" s="17" t="s">
        <v>50</v>
      </c>
      <c r="B39" s="18" t="s">
        <v>164</v>
      </c>
      <c r="C39" s="18" t="s">
        <v>122</v>
      </c>
      <c r="D39" s="17" t="s">
        <v>117</v>
      </c>
    </row>
    <row r="40" ht="18" customHeight="1" spans="1:4">
      <c r="A40" s="17" t="s">
        <v>80</v>
      </c>
      <c r="B40" s="18" t="s">
        <v>166</v>
      </c>
      <c r="C40" s="18" t="s">
        <v>122</v>
      </c>
      <c r="D40" s="17" t="s">
        <v>117</v>
      </c>
    </row>
    <row r="41" ht="18" customHeight="1" spans="1:4">
      <c r="A41" s="17" t="s">
        <v>60</v>
      </c>
      <c r="B41" s="18" t="s">
        <v>166</v>
      </c>
      <c r="C41" s="18" t="s">
        <v>122</v>
      </c>
      <c r="D41" s="17" t="s">
        <v>123</v>
      </c>
    </row>
    <row r="42" ht="18" customHeight="1" spans="1:4">
      <c r="A42" s="17" t="s">
        <v>167</v>
      </c>
      <c r="B42" s="18" t="s">
        <v>166</v>
      </c>
      <c r="C42" s="18" t="s">
        <v>122</v>
      </c>
      <c r="D42" s="17" t="s">
        <v>123</v>
      </c>
    </row>
    <row r="43" ht="18" customHeight="1" spans="1:4">
      <c r="A43" s="17" t="s">
        <v>168</v>
      </c>
      <c r="B43" s="18" t="s">
        <v>166</v>
      </c>
      <c r="C43" s="18" t="s">
        <v>122</v>
      </c>
      <c r="D43" s="17" t="s">
        <v>117</v>
      </c>
    </row>
    <row r="44" ht="18" customHeight="1" spans="1:4">
      <c r="A44" s="17" t="s">
        <v>40</v>
      </c>
      <c r="B44" s="18" t="s">
        <v>166</v>
      </c>
      <c r="C44" s="18" t="s">
        <v>122</v>
      </c>
      <c r="D44" s="17" t="s">
        <v>123</v>
      </c>
    </row>
    <row r="45" ht="18" customHeight="1" spans="1:4">
      <c r="A45" s="17" t="s">
        <v>169</v>
      </c>
      <c r="B45" s="18" t="s">
        <v>166</v>
      </c>
      <c r="C45" s="18" t="s">
        <v>146</v>
      </c>
      <c r="D45" s="17" t="s">
        <v>17</v>
      </c>
    </row>
    <row r="46" ht="18" customHeight="1" spans="1:4">
      <c r="A46" s="17" t="s">
        <v>76</v>
      </c>
      <c r="B46" s="18" t="s">
        <v>166</v>
      </c>
      <c r="C46" s="18" t="s">
        <v>122</v>
      </c>
      <c r="D46" s="17" t="s">
        <v>170</v>
      </c>
    </row>
    <row r="47" ht="18" customHeight="1" spans="1:4">
      <c r="A47" s="17" t="s">
        <v>23</v>
      </c>
      <c r="B47" s="18" t="s">
        <v>171</v>
      </c>
      <c r="C47" s="18" t="s">
        <v>122</v>
      </c>
      <c r="D47" s="17" t="s">
        <v>117</v>
      </c>
    </row>
    <row r="48" ht="18" customHeight="1" spans="1:4">
      <c r="A48" s="17" t="s">
        <v>172</v>
      </c>
      <c r="B48" s="18" t="s">
        <v>171</v>
      </c>
      <c r="C48" s="18" t="s">
        <v>122</v>
      </c>
      <c r="D48" s="17" t="s">
        <v>117</v>
      </c>
    </row>
    <row r="49" ht="18" customHeight="1" spans="1:4">
      <c r="A49" s="17" t="s">
        <v>173</v>
      </c>
      <c r="B49" s="18" t="s">
        <v>171</v>
      </c>
      <c r="C49" s="18" t="s">
        <v>116</v>
      </c>
      <c r="D49" s="17" t="s">
        <v>117</v>
      </c>
    </row>
    <row r="50" ht="18" customHeight="1" spans="1:4">
      <c r="A50" s="17" t="s">
        <v>174</v>
      </c>
      <c r="B50" s="18" t="s">
        <v>171</v>
      </c>
      <c r="C50" s="18" t="s">
        <v>122</v>
      </c>
      <c r="D50" s="17" t="s">
        <v>117</v>
      </c>
    </row>
    <row r="51" ht="18" customHeight="1" spans="1:4">
      <c r="A51" s="17" t="s">
        <v>175</v>
      </c>
      <c r="B51" s="18" t="s">
        <v>171</v>
      </c>
      <c r="C51" s="18" t="s">
        <v>116</v>
      </c>
      <c r="D51" s="17" t="s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4" workbookViewId="0">
      <selection activeCell="A16" sqref="A16"/>
    </sheetView>
  </sheetViews>
  <sheetFormatPr defaultColWidth="9" defaultRowHeight="25" customHeight="1" outlineLevelCol="7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43</v>
      </c>
      <c r="B2" s="4" t="s">
        <v>176</v>
      </c>
      <c r="C2" s="4" t="s">
        <v>113</v>
      </c>
      <c r="D2" s="3" t="s">
        <v>44</v>
      </c>
    </row>
    <row r="3" s="1" customFormat="1" customHeight="1" spans="1:4">
      <c r="A3" s="3" t="s">
        <v>52</v>
      </c>
      <c r="B3" s="4" t="s">
        <v>177</v>
      </c>
      <c r="C3" s="4" t="s">
        <v>122</v>
      </c>
      <c r="D3" s="3" t="s">
        <v>53</v>
      </c>
    </row>
    <row r="4" s="1" customFormat="1" customHeight="1" spans="1:7">
      <c r="A4" s="3" t="s">
        <v>3</v>
      </c>
      <c r="B4" s="4" t="s">
        <v>12</v>
      </c>
      <c r="C4" s="4" t="s">
        <v>122</v>
      </c>
      <c r="D4" s="3" t="s">
        <v>5</v>
      </c>
      <c r="G4" s="5" t="s">
        <v>6</v>
      </c>
    </row>
    <row r="5" s="1" customFormat="1" customHeight="1" spans="1:7">
      <c r="A5" s="3" t="s">
        <v>15</v>
      </c>
      <c r="B5" s="4" t="s">
        <v>12</v>
      </c>
      <c r="C5" s="4" t="s">
        <v>146</v>
      </c>
      <c r="D5" s="3" t="s">
        <v>17</v>
      </c>
      <c r="G5" s="5" t="s">
        <v>10</v>
      </c>
    </row>
    <row r="6" s="1" customFormat="1" customHeight="1" spans="1:7">
      <c r="A6" s="3" t="s">
        <v>48</v>
      </c>
      <c r="B6" s="4" t="s">
        <v>178</v>
      </c>
      <c r="C6" s="4" t="s">
        <v>122</v>
      </c>
      <c r="D6" s="3" t="s">
        <v>49</v>
      </c>
      <c r="G6" s="5" t="s">
        <v>14</v>
      </c>
    </row>
    <row r="7" s="1" customFormat="1" customHeight="1" spans="1:7">
      <c r="A7" s="3" t="s">
        <v>54</v>
      </c>
      <c r="B7" s="4" t="s">
        <v>178</v>
      </c>
      <c r="C7" s="4" t="s">
        <v>122</v>
      </c>
      <c r="D7" s="3" t="s">
        <v>55</v>
      </c>
      <c r="G7" s="5" t="s">
        <v>179</v>
      </c>
    </row>
    <row r="8" s="1" customFormat="1" customHeight="1" spans="1:7">
      <c r="A8" s="3" t="s">
        <v>74</v>
      </c>
      <c r="B8" s="4" t="s">
        <v>178</v>
      </c>
      <c r="C8" s="4" t="s">
        <v>122</v>
      </c>
      <c r="D8" s="3"/>
      <c r="G8" s="5" t="s">
        <v>27</v>
      </c>
    </row>
    <row r="9" s="1" customFormat="1" customHeight="1" spans="1:8">
      <c r="A9" s="3" t="s">
        <v>40</v>
      </c>
      <c r="B9" s="4" t="s">
        <v>180</v>
      </c>
      <c r="C9" s="4" t="s">
        <v>122</v>
      </c>
      <c r="D9" s="3" t="s">
        <v>21</v>
      </c>
      <c r="G9" s="2" t="s">
        <v>181</v>
      </c>
      <c r="H9" s="2" t="s">
        <v>182</v>
      </c>
    </row>
    <row r="10" s="1" customFormat="1" customHeight="1" spans="1:8">
      <c r="A10" s="3" t="s">
        <v>23</v>
      </c>
      <c r="B10" s="4" t="s">
        <v>180</v>
      </c>
      <c r="C10" s="4" t="s">
        <v>122</v>
      </c>
      <c r="D10" s="3"/>
      <c r="G10" s="13" t="s">
        <v>135</v>
      </c>
      <c r="H10" s="14">
        <v>23.42</v>
      </c>
    </row>
    <row r="11" s="1" customFormat="1" customHeight="1" spans="1:8">
      <c r="A11" s="3" t="s">
        <v>163</v>
      </c>
      <c r="B11" s="4" t="s">
        <v>183</v>
      </c>
      <c r="C11" s="4" t="s">
        <v>122</v>
      </c>
      <c r="D11" s="3"/>
      <c r="G11" s="13" t="s">
        <v>136</v>
      </c>
      <c r="H11" s="14">
        <v>31.75</v>
      </c>
    </row>
    <row r="12" s="1" customFormat="1" customHeight="1" spans="1:8">
      <c r="A12" s="3" t="s">
        <v>184</v>
      </c>
      <c r="B12" s="4" t="s">
        <v>183</v>
      </c>
      <c r="C12" s="4" t="s">
        <v>146</v>
      </c>
      <c r="D12" s="3" t="s">
        <v>17</v>
      </c>
      <c r="G12" s="13" t="s">
        <v>137</v>
      </c>
      <c r="H12" s="14">
        <v>31.75</v>
      </c>
    </row>
    <row r="13" s="1" customFormat="1" customHeight="1" spans="1:8">
      <c r="A13" s="3" t="s">
        <v>68</v>
      </c>
      <c r="B13" s="4" t="s">
        <v>183</v>
      </c>
      <c r="C13" s="4" t="s">
        <v>122</v>
      </c>
      <c r="D13" s="3" t="s">
        <v>21</v>
      </c>
      <c r="G13" s="13" t="s">
        <v>185</v>
      </c>
      <c r="H13" s="14">
        <v>351.77</v>
      </c>
    </row>
    <row r="14" s="1" customFormat="1" customHeight="1" spans="1:8">
      <c r="A14" s="3" t="s">
        <v>58</v>
      </c>
      <c r="B14" s="4" t="s">
        <v>183</v>
      </c>
      <c r="C14" s="4" t="s">
        <v>122</v>
      </c>
      <c r="D14" s="3" t="s">
        <v>5</v>
      </c>
      <c r="G14" s="13" t="s">
        <v>186</v>
      </c>
      <c r="H14" s="15">
        <v>0.9172</v>
      </c>
    </row>
    <row r="15" s="1" customFormat="1" customHeight="1" spans="1:8">
      <c r="A15" s="3" t="s">
        <v>28</v>
      </c>
      <c r="B15" s="4" t="s">
        <v>131</v>
      </c>
      <c r="C15" s="4" t="s">
        <v>105</v>
      </c>
      <c r="D15" s="3" t="s">
        <v>30</v>
      </c>
      <c r="G15" s="13" t="s">
        <v>187</v>
      </c>
      <c r="H15" s="15">
        <v>0.0828</v>
      </c>
    </row>
    <row r="16" s="1" customFormat="1" customHeight="1" spans="1:8">
      <c r="A16" s="3" t="s">
        <v>11</v>
      </c>
      <c r="B16" s="4" t="s">
        <v>131</v>
      </c>
      <c r="C16" s="4" t="s">
        <v>108</v>
      </c>
      <c r="D16" s="3" t="s">
        <v>13</v>
      </c>
      <c r="G16" s="13" t="s">
        <v>139</v>
      </c>
      <c r="H16" s="14">
        <v>3e-6</v>
      </c>
    </row>
    <row r="17" s="1" customFormat="1" customHeight="1" spans="1:8">
      <c r="A17" s="3" t="s">
        <v>188</v>
      </c>
      <c r="B17" s="4" t="s">
        <v>131</v>
      </c>
      <c r="C17" s="4" t="s">
        <v>108</v>
      </c>
      <c r="D17" s="3" t="s">
        <v>55</v>
      </c>
      <c r="G17" s="13" t="s">
        <v>189</v>
      </c>
      <c r="H17" s="14">
        <v>1065.38</v>
      </c>
    </row>
    <row r="18" s="1" customFormat="1" customHeight="1" spans="1:4">
      <c r="A18" s="3" t="s">
        <v>190</v>
      </c>
      <c r="B18" s="4" t="s">
        <v>131</v>
      </c>
      <c r="C18" s="4" t="s">
        <v>122</v>
      </c>
      <c r="D18" s="3"/>
    </row>
    <row r="19" s="1" customFormat="1" customHeight="1" spans="1:4">
      <c r="A19" s="3" t="s">
        <v>67</v>
      </c>
      <c r="B19" s="4" t="s">
        <v>131</v>
      </c>
      <c r="C19" s="4" t="s">
        <v>122</v>
      </c>
      <c r="D19" s="3"/>
    </row>
    <row r="20" s="1" customFormat="1" customHeight="1" spans="1:4">
      <c r="A20" s="3" t="s">
        <v>86</v>
      </c>
      <c r="B20" s="4" t="s">
        <v>131</v>
      </c>
      <c r="C20" s="4" t="s">
        <v>122</v>
      </c>
      <c r="D20" s="3"/>
    </row>
    <row r="21" s="1" customFormat="1" customHeight="1" spans="1:4">
      <c r="A21" s="3" t="s">
        <v>25</v>
      </c>
      <c r="B21" s="4" t="s">
        <v>131</v>
      </c>
      <c r="C21" s="4" t="s">
        <v>122</v>
      </c>
      <c r="D21" s="3" t="s">
        <v>5</v>
      </c>
    </row>
    <row r="22" s="1" customFormat="1" customHeight="1" spans="1:4">
      <c r="A22" s="3" t="s">
        <v>191</v>
      </c>
      <c r="B22" s="4" t="s">
        <v>131</v>
      </c>
      <c r="C22" s="4" t="s">
        <v>122</v>
      </c>
      <c r="D22" s="3"/>
    </row>
    <row r="23" s="1" customFormat="1" customHeight="1" spans="1:4">
      <c r="A23" s="3" t="s">
        <v>66</v>
      </c>
      <c r="B23" s="4" t="s">
        <v>131</v>
      </c>
      <c r="C23" s="4" t="s">
        <v>122</v>
      </c>
      <c r="D23" s="3"/>
    </row>
    <row r="24" s="1" customFormat="1" customHeight="1" spans="1:4">
      <c r="A24" s="3" t="s">
        <v>192</v>
      </c>
      <c r="B24" s="4" t="s">
        <v>131</v>
      </c>
      <c r="C24" s="4" t="s">
        <v>122</v>
      </c>
      <c r="D24" s="3" t="s">
        <v>49</v>
      </c>
    </row>
    <row r="25" s="1" customFormat="1" customHeight="1" spans="1:4">
      <c r="A25" s="3" t="s">
        <v>95</v>
      </c>
      <c r="B25" s="4" t="s">
        <v>193</v>
      </c>
      <c r="C25" s="4" t="s">
        <v>122</v>
      </c>
      <c r="D25" s="3"/>
    </row>
    <row r="26" s="1" customFormat="1" customHeight="1" spans="1:4">
      <c r="A26" s="3" t="s">
        <v>65</v>
      </c>
      <c r="B26" s="4" t="s">
        <v>193</v>
      </c>
      <c r="C26" s="4" t="s">
        <v>122</v>
      </c>
      <c r="D26" s="3" t="s">
        <v>49</v>
      </c>
    </row>
    <row r="27" s="1" customFormat="1" customHeight="1" spans="1:4">
      <c r="A27" s="3" t="s">
        <v>94</v>
      </c>
      <c r="B27" s="4" t="s">
        <v>193</v>
      </c>
      <c r="C27" s="4" t="s">
        <v>116</v>
      </c>
      <c r="D27" s="3"/>
    </row>
    <row r="28" s="1" customFormat="1" customHeight="1" spans="1:4">
      <c r="A28" s="3" t="s">
        <v>194</v>
      </c>
      <c r="B28" s="4" t="s">
        <v>193</v>
      </c>
      <c r="C28" s="4" t="s">
        <v>122</v>
      </c>
      <c r="D28" s="3"/>
    </row>
    <row r="29" s="1" customFormat="1" customHeight="1" spans="1:4">
      <c r="A29" s="3" t="s">
        <v>195</v>
      </c>
      <c r="B29" s="4" t="s">
        <v>193</v>
      </c>
      <c r="C29" s="4" t="s">
        <v>122</v>
      </c>
      <c r="D29" s="3"/>
    </row>
    <row r="30" s="1" customFormat="1" customHeight="1" spans="1:4">
      <c r="A30" s="3" t="s">
        <v>196</v>
      </c>
      <c r="B30" s="4" t="s">
        <v>193</v>
      </c>
      <c r="C30" s="4" t="s">
        <v>116</v>
      </c>
      <c r="D30" s="3"/>
    </row>
    <row r="31" s="1" customFormat="1" customHeight="1" spans="1:4">
      <c r="A31" s="3" t="s">
        <v>197</v>
      </c>
      <c r="B31" s="4" t="s">
        <v>193</v>
      </c>
      <c r="C31" s="4" t="s">
        <v>122</v>
      </c>
      <c r="D31" s="3" t="s">
        <v>21</v>
      </c>
    </row>
    <row r="32" s="1" customFormat="1" customHeight="1" spans="1:4">
      <c r="A32" s="3" t="s">
        <v>62</v>
      </c>
      <c r="B32" s="4" t="s">
        <v>193</v>
      </c>
      <c r="C32" s="4" t="s">
        <v>122</v>
      </c>
      <c r="D32" s="3" t="s">
        <v>21</v>
      </c>
    </row>
    <row r="33" s="1" customFormat="1" customHeight="1" spans="1:4">
      <c r="A33" s="3" t="s">
        <v>198</v>
      </c>
      <c r="B33" s="4" t="s">
        <v>193</v>
      </c>
      <c r="C33" s="4" t="s">
        <v>122</v>
      </c>
      <c r="D33" s="3" t="s">
        <v>199</v>
      </c>
    </row>
    <row r="34" s="1" customFormat="1" customHeight="1" spans="1:4">
      <c r="A34" s="3" t="s">
        <v>200</v>
      </c>
      <c r="B34" s="4" t="s">
        <v>193</v>
      </c>
      <c r="C34" s="4" t="s">
        <v>116</v>
      </c>
      <c r="D34" s="3"/>
    </row>
    <row r="35" s="1" customFormat="1" customHeight="1" spans="1:4">
      <c r="A35" s="3" t="s">
        <v>19</v>
      </c>
      <c r="B35" s="4" t="s">
        <v>193</v>
      </c>
      <c r="C35" s="4" t="s">
        <v>122</v>
      </c>
      <c r="D35" s="3" t="s">
        <v>21</v>
      </c>
    </row>
    <row r="36" s="1" customFormat="1" customHeight="1" spans="1:4">
      <c r="A36" s="3" t="s">
        <v>201</v>
      </c>
      <c r="B36" s="4" t="s">
        <v>193</v>
      </c>
      <c r="C36" s="4" t="s">
        <v>122</v>
      </c>
      <c r="D36" s="3"/>
    </row>
    <row r="37" s="1" customFormat="1" customHeight="1" spans="1:4">
      <c r="A37" s="3" t="s">
        <v>202</v>
      </c>
      <c r="B37" s="4" t="s">
        <v>193</v>
      </c>
      <c r="C37" s="4" t="s">
        <v>122</v>
      </c>
      <c r="D37" s="3" t="s">
        <v>21</v>
      </c>
    </row>
    <row r="38" s="1" customFormat="1" customHeight="1" spans="1:4">
      <c r="A38" s="3" t="s">
        <v>7</v>
      </c>
      <c r="B38" s="4" t="s">
        <v>193</v>
      </c>
      <c r="C38" s="4" t="s">
        <v>105</v>
      </c>
      <c r="D38" s="3" t="s">
        <v>9</v>
      </c>
    </row>
    <row r="39" s="1" customFormat="1" customHeight="1" spans="1:4">
      <c r="A39" s="3" t="s">
        <v>203</v>
      </c>
      <c r="B39" s="4" t="s">
        <v>193</v>
      </c>
      <c r="C39" s="4" t="s">
        <v>122</v>
      </c>
      <c r="D39" s="3" t="s">
        <v>83</v>
      </c>
    </row>
    <row r="40" s="1" customFormat="1" customHeight="1" spans="1:4">
      <c r="A40" s="3" t="s">
        <v>96</v>
      </c>
      <c r="B40" s="4" t="s">
        <v>193</v>
      </c>
      <c r="C40" s="4" t="s">
        <v>122</v>
      </c>
      <c r="D40" s="3" t="s">
        <v>97</v>
      </c>
    </row>
    <row r="41" s="1" customFormat="1" customHeight="1" spans="1:4">
      <c r="A41" s="3" t="s">
        <v>154</v>
      </c>
      <c r="B41" s="4" t="s">
        <v>193</v>
      </c>
      <c r="C41" s="4" t="s">
        <v>122</v>
      </c>
      <c r="D41" s="3"/>
    </row>
    <row r="42" s="1" customFormat="1" customHeight="1" spans="1:4">
      <c r="A42" s="3" t="s">
        <v>204</v>
      </c>
      <c r="B42" s="4" t="s">
        <v>205</v>
      </c>
      <c r="C42" s="4" t="s">
        <v>122</v>
      </c>
      <c r="D42" s="3"/>
    </row>
    <row r="43" s="1" customFormat="1" customHeight="1" spans="1:4">
      <c r="A43" s="3" t="s">
        <v>206</v>
      </c>
      <c r="B43" s="4" t="s">
        <v>205</v>
      </c>
      <c r="C43" s="4" t="s">
        <v>146</v>
      </c>
      <c r="D43" s="3" t="s">
        <v>17</v>
      </c>
    </row>
    <row r="44" s="1" customFormat="1" customHeight="1" spans="1:4">
      <c r="A44" s="3" t="s">
        <v>207</v>
      </c>
      <c r="B44" s="4" t="s">
        <v>205</v>
      </c>
      <c r="C44" s="4" t="s">
        <v>208</v>
      </c>
      <c r="D44" s="3" t="s">
        <v>209</v>
      </c>
    </row>
    <row r="45" s="1" customFormat="1" customHeight="1" spans="1:4">
      <c r="A45" s="3" t="s">
        <v>210</v>
      </c>
      <c r="B45" s="4" t="s">
        <v>205</v>
      </c>
      <c r="C45" s="4" t="s">
        <v>122</v>
      </c>
      <c r="D45" s="3" t="s">
        <v>5</v>
      </c>
    </row>
    <row r="46" s="1" customFormat="1" customHeight="1" spans="1:4">
      <c r="A46" s="3" t="s">
        <v>211</v>
      </c>
      <c r="B46" s="4" t="s">
        <v>205</v>
      </c>
      <c r="C46" s="4" t="s">
        <v>122</v>
      </c>
      <c r="D46" s="3"/>
    </row>
    <row r="47" s="1" customFormat="1" customHeight="1" spans="1:4">
      <c r="A47" s="3" t="s">
        <v>159</v>
      </c>
      <c r="B47" s="4" t="s">
        <v>205</v>
      </c>
      <c r="C47" s="4" t="s">
        <v>122</v>
      </c>
      <c r="D47" s="3"/>
    </row>
    <row r="48" s="1" customFormat="1" customHeight="1" spans="1:4">
      <c r="A48" s="3" t="s">
        <v>81</v>
      </c>
      <c r="B48" s="4" t="s">
        <v>205</v>
      </c>
      <c r="C48" s="4" t="s">
        <v>122</v>
      </c>
      <c r="D48" s="3" t="s">
        <v>49</v>
      </c>
    </row>
    <row r="49" s="1" customFormat="1" customHeight="1" spans="1:4">
      <c r="A49" s="3" t="s">
        <v>212</v>
      </c>
      <c r="B49" s="4" t="s">
        <v>205</v>
      </c>
      <c r="C49" s="4" t="s">
        <v>122</v>
      </c>
      <c r="D49" s="3" t="s">
        <v>49</v>
      </c>
    </row>
    <row r="50" s="1" customFormat="1" customHeight="1" spans="1:4">
      <c r="A50" s="3" t="s">
        <v>213</v>
      </c>
      <c r="B50" s="4" t="s">
        <v>205</v>
      </c>
      <c r="C50" s="4" t="s">
        <v>122</v>
      </c>
      <c r="D50" s="3"/>
    </row>
    <row r="51" s="1" customFormat="1" customHeight="1" spans="1:4">
      <c r="A51" s="3" t="s">
        <v>89</v>
      </c>
      <c r="B51" s="4" t="s">
        <v>205</v>
      </c>
      <c r="C51" s="4" t="s">
        <v>105</v>
      </c>
      <c r="D51" s="3" t="s">
        <v>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A3" sqref="A3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7.6363636363636" style="1" customWidth="1"/>
    <col min="5" max="6" width="9" style="1"/>
    <col min="7" max="7" width="34.2727272727273" style="1" customWidth="1"/>
    <col min="8" max="8" width="12.7272727272727" style="1"/>
    <col min="9" max="16384" width="9" style="1"/>
  </cols>
  <sheetData>
    <row r="1" s="1" customFormat="1" customHeight="1" spans="1:4">
      <c r="A1" s="16" t="s">
        <v>0</v>
      </c>
      <c r="B1" s="16" t="s">
        <v>1</v>
      </c>
      <c r="C1" s="16" t="s">
        <v>102</v>
      </c>
      <c r="D1" s="16" t="s">
        <v>2</v>
      </c>
    </row>
    <row r="2" s="1" customFormat="1" customHeight="1" spans="1:4">
      <c r="A2" s="17" t="s">
        <v>118</v>
      </c>
      <c r="B2" s="18" t="s">
        <v>214</v>
      </c>
      <c r="C2" s="18" t="s">
        <v>105</v>
      </c>
      <c r="D2" s="17" t="s">
        <v>57</v>
      </c>
    </row>
    <row r="3" s="1" customFormat="1" customHeight="1" spans="1:4">
      <c r="A3" s="17" t="s">
        <v>106</v>
      </c>
      <c r="B3" s="18" t="s">
        <v>215</v>
      </c>
      <c r="C3" s="18" t="s">
        <v>108</v>
      </c>
      <c r="D3" s="17" t="s">
        <v>13</v>
      </c>
    </row>
    <row r="4" s="1" customFormat="1" ht="28" customHeight="1" spans="1:7">
      <c r="A4" s="17" t="s">
        <v>3</v>
      </c>
      <c r="B4" s="18" t="s">
        <v>216</v>
      </c>
      <c r="C4" s="18" t="s">
        <v>122</v>
      </c>
      <c r="D4" s="17" t="s">
        <v>123</v>
      </c>
      <c r="G4" s="5"/>
    </row>
    <row r="5" s="1" customFormat="1" ht="28" customHeight="1" spans="1:7">
      <c r="A5" s="17" t="s">
        <v>109</v>
      </c>
      <c r="B5" s="18" t="s">
        <v>217</v>
      </c>
      <c r="C5" s="18" t="s">
        <v>105</v>
      </c>
      <c r="D5" s="17" t="s">
        <v>57</v>
      </c>
      <c r="G5" s="5" t="s">
        <v>6</v>
      </c>
    </row>
    <row r="6" s="1" customFormat="1" customHeight="1" spans="1:7">
      <c r="A6" s="17" t="s">
        <v>130</v>
      </c>
      <c r="B6" s="18" t="s">
        <v>218</v>
      </c>
      <c r="C6" s="18" t="s">
        <v>105</v>
      </c>
      <c r="D6" s="17" t="s">
        <v>57</v>
      </c>
      <c r="G6" s="5" t="s">
        <v>120</v>
      </c>
    </row>
    <row r="7" s="1" customFormat="1" customHeight="1" spans="1:7">
      <c r="A7" s="17" t="s">
        <v>111</v>
      </c>
      <c r="B7" s="18" t="s">
        <v>4</v>
      </c>
      <c r="C7" s="18" t="s">
        <v>113</v>
      </c>
      <c r="D7" s="17" t="s">
        <v>114</v>
      </c>
      <c r="G7" s="5" t="s">
        <v>14</v>
      </c>
    </row>
    <row r="8" s="1" customFormat="1" customHeight="1" spans="1:7">
      <c r="A8" s="17" t="s">
        <v>132</v>
      </c>
      <c r="B8" s="18" t="s">
        <v>219</v>
      </c>
      <c r="C8" s="18" t="s">
        <v>116</v>
      </c>
      <c r="D8" s="17" t="s">
        <v>117</v>
      </c>
      <c r="G8" s="5" t="s">
        <v>179</v>
      </c>
    </row>
    <row r="9" s="1" customFormat="1" customHeight="1" spans="1:7">
      <c r="A9" s="17" t="s">
        <v>115</v>
      </c>
      <c r="B9" s="18" t="s">
        <v>220</v>
      </c>
      <c r="C9" s="18" t="s">
        <v>116</v>
      </c>
      <c r="D9" s="17" t="s">
        <v>117</v>
      </c>
      <c r="G9" s="5" t="s">
        <v>27</v>
      </c>
    </row>
    <row r="10" s="1" customFormat="1" customHeight="1" spans="1:8">
      <c r="A10" s="17" t="s">
        <v>68</v>
      </c>
      <c r="B10" s="18" t="s">
        <v>221</v>
      </c>
      <c r="C10" s="18" t="s">
        <v>122</v>
      </c>
      <c r="D10" s="17" t="s">
        <v>123</v>
      </c>
      <c r="G10" s="2" t="s">
        <v>181</v>
      </c>
      <c r="H10" s="2" t="s">
        <v>182</v>
      </c>
    </row>
    <row r="11" s="1" customFormat="1" customHeight="1" spans="1:8">
      <c r="A11" s="17" t="s">
        <v>124</v>
      </c>
      <c r="B11" s="18" t="s">
        <v>222</v>
      </c>
      <c r="C11" s="18" t="s">
        <v>105</v>
      </c>
      <c r="D11" s="17" t="s">
        <v>57</v>
      </c>
      <c r="G11" s="7" t="s">
        <v>135</v>
      </c>
      <c r="H11" s="9">
        <v>53.31</v>
      </c>
    </row>
    <row r="12" s="1" customFormat="1" ht="28" customHeight="1" spans="1:15">
      <c r="A12" s="17" t="s">
        <v>103</v>
      </c>
      <c r="B12" s="18" t="s">
        <v>223</v>
      </c>
      <c r="C12" s="18" t="s">
        <v>105</v>
      </c>
      <c r="D12" s="17" t="s">
        <v>57</v>
      </c>
      <c r="G12" s="7" t="s">
        <v>136</v>
      </c>
      <c r="H12" s="12">
        <v>120.42</v>
      </c>
      <c r="I12" s="7"/>
      <c r="J12" s="7"/>
      <c r="K12" s="7"/>
      <c r="L12" s="11"/>
      <c r="M12" s="11"/>
      <c r="N12" s="7"/>
      <c r="O12" s="7"/>
    </row>
    <row r="13" s="1" customFormat="1" ht="42" customHeight="1" spans="1:15">
      <c r="A13" s="17" t="s">
        <v>144</v>
      </c>
      <c r="B13" s="18" t="s">
        <v>223</v>
      </c>
      <c r="C13" s="18" t="s">
        <v>146</v>
      </c>
      <c r="D13" s="17" t="s">
        <v>17</v>
      </c>
      <c r="G13" s="7" t="s">
        <v>137</v>
      </c>
      <c r="H13" s="9">
        <v>120.42</v>
      </c>
      <c r="I13" s="7"/>
      <c r="J13" s="7"/>
      <c r="K13" s="7"/>
      <c r="L13" s="11"/>
      <c r="M13" s="11"/>
      <c r="N13" s="7"/>
      <c r="O13" s="7"/>
    </row>
    <row r="14" s="1" customFormat="1" customHeight="1" spans="1:15">
      <c r="A14" s="17" t="s">
        <v>126</v>
      </c>
      <c r="B14" s="18" t="s">
        <v>224</v>
      </c>
      <c r="C14" s="18" t="s">
        <v>113</v>
      </c>
      <c r="D14" s="17" t="s">
        <v>114</v>
      </c>
      <c r="G14" s="7" t="s">
        <v>185</v>
      </c>
      <c r="H14" s="9">
        <v>1032.57</v>
      </c>
      <c r="I14" s="7"/>
      <c r="J14" s="7"/>
      <c r="K14" s="7"/>
      <c r="L14" s="11"/>
      <c r="M14" s="11"/>
      <c r="N14" s="7"/>
      <c r="O14" s="7"/>
    </row>
    <row r="15" s="1" customFormat="1" customHeight="1" spans="1:8">
      <c r="A15" s="17" t="s">
        <v>19</v>
      </c>
      <c r="B15" s="18" t="s">
        <v>224</v>
      </c>
      <c r="C15" s="18" t="s">
        <v>122</v>
      </c>
      <c r="D15" s="17" t="s">
        <v>123</v>
      </c>
      <c r="G15" s="7" t="s">
        <v>186</v>
      </c>
      <c r="H15" s="8">
        <v>0.8955</v>
      </c>
    </row>
    <row r="16" s="1" customFormat="1" customHeight="1" spans="1:8">
      <c r="A16" s="17" t="s">
        <v>54</v>
      </c>
      <c r="B16" s="18" t="s">
        <v>225</v>
      </c>
      <c r="C16" s="18" t="s">
        <v>122</v>
      </c>
      <c r="D16" s="17" t="s">
        <v>117</v>
      </c>
      <c r="G16" s="7" t="s">
        <v>187</v>
      </c>
      <c r="H16" s="8">
        <v>0.1045</v>
      </c>
    </row>
    <row r="17" s="1" customFormat="1" customHeight="1" spans="1:8">
      <c r="A17" s="17" t="s">
        <v>86</v>
      </c>
      <c r="B17" s="18" t="s">
        <v>226</v>
      </c>
      <c r="C17" s="18" t="s">
        <v>122</v>
      </c>
      <c r="D17" s="17" t="s">
        <v>117</v>
      </c>
      <c r="G17" s="7" t="s">
        <v>139</v>
      </c>
      <c r="H17" s="9">
        <v>1.43e-6</v>
      </c>
    </row>
    <row r="18" s="1" customFormat="1" customHeight="1" spans="1:8">
      <c r="A18" s="17" t="s">
        <v>74</v>
      </c>
      <c r="B18" s="18" t="s">
        <v>129</v>
      </c>
      <c r="C18" s="18" t="s">
        <v>122</v>
      </c>
      <c r="D18" s="17" t="s">
        <v>117</v>
      </c>
      <c r="G18" s="7" t="s">
        <v>189</v>
      </c>
      <c r="H18" s="9">
        <v>133.7</v>
      </c>
    </row>
    <row r="19" s="1" customFormat="1" customHeight="1" spans="1:4">
      <c r="A19" s="17" t="s">
        <v>227</v>
      </c>
      <c r="B19" s="18" t="s">
        <v>59</v>
      </c>
      <c r="C19" s="18" t="s">
        <v>122</v>
      </c>
      <c r="D19" s="17" t="s">
        <v>123</v>
      </c>
    </row>
    <row r="20" s="1" customFormat="1" customHeight="1" spans="1:4">
      <c r="A20" s="17" t="s">
        <v>25</v>
      </c>
      <c r="B20" s="18" t="s">
        <v>133</v>
      </c>
      <c r="C20" s="18" t="s">
        <v>122</v>
      </c>
      <c r="D20" s="17" t="s">
        <v>123</v>
      </c>
    </row>
    <row r="21" s="1" customFormat="1" customHeight="1" spans="1:4">
      <c r="A21" s="17" t="s">
        <v>157</v>
      </c>
      <c r="B21" s="18" t="s">
        <v>228</v>
      </c>
      <c r="C21" s="18" t="s">
        <v>122</v>
      </c>
      <c r="D21" s="17" t="s">
        <v>123</v>
      </c>
    </row>
    <row r="22" s="1" customFormat="1" customHeight="1" spans="1:4">
      <c r="A22" s="17" t="s">
        <v>46</v>
      </c>
      <c r="B22" s="18" t="s">
        <v>228</v>
      </c>
      <c r="C22" s="18" t="s">
        <v>122</v>
      </c>
      <c r="D22" s="17" t="s">
        <v>123</v>
      </c>
    </row>
    <row r="23" s="1" customFormat="1" customHeight="1" spans="1:8">
      <c r="A23" s="17" t="s">
        <v>48</v>
      </c>
      <c r="B23" s="18" t="s">
        <v>229</v>
      </c>
      <c r="C23" s="18" t="s">
        <v>122</v>
      </c>
      <c r="D23" s="17" t="s">
        <v>123</v>
      </c>
      <c r="G23" s="7"/>
      <c r="H23"/>
    </row>
    <row r="24" s="1" customFormat="1" customHeight="1" spans="1:8">
      <c r="A24" s="17" t="s">
        <v>23</v>
      </c>
      <c r="B24" s="18" t="s">
        <v>229</v>
      </c>
      <c r="C24" s="18" t="s">
        <v>122</v>
      </c>
      <c r="D24" s="17" t="s">
        <v>117</v>
      </c>
      <c r="G24" s="7"/>
      <c r="H24" s="7"/>
    </row>
    <row r="25" s="1" customFormat="1" customHeight="1" spans="1:8">
      <c r="A25" s="17" t="s">
        <v>15</v>
      </c>
      <c r="B25" s="18" t="s">
        <v>148</v>
      </c>
      <c r="C25" s="18" t="s">
        <v>146</v>
      </c>
      <c r="D25" s="17" t="s">
        <v>17</v>
      </c>
      <c r="G25" s="7"/>
      <c r="H25" s="7"/>
    </row>
    <row r="26" s="1" customFormat="1" customHeight="1" spans="1:4">
      <c r="A26" s="17" t="s">
        <v>62</v>
      </c>
      <c r="B26" s="18" t="s">
        <v>148</v>
      </c>
      <c r="C26" s="18" t="s">
        <v>122</v>
      </c>
      <c r="D26" s="17" t="s">
        <v>123</v>
      </c>
    </row>
    <row r="27" s="1" customFormat="1" customHeight="1" spans="1:4">
      <c r="A27" s="17" t="s">
        <v>43</v>
      </c>
      <c r="B27" s="18" t="s">
        <v>148</v>
      </c>
      <c r="C27" s="18" t="s">
        <v>113</v>
      </c>
      <c r="D27" s="17" t="s">
        <v>44</v>
      </c>
    </row>
    <row r="28" s="1" customFormat="1" customHeight="1" spans="1:4">
      <c r="A28" s="17" t="s">
        <v>72</v>
      </c>
      <c r="B28" s="18" t="s">
        <v>230</v>
      </c>
      <c r="C28" s="18" t="s">
        <v>122</v>
      </c>
      <c r="D28" s="17" t="s">
        <v>117</v>
      </c>
    </row>
    <row r="29" s="1" customFormat="1" customHeight="1" spans="1:4">
      <c r="A29" s="17" t="s">
        <v>65</v>
      </c>
      <c r="B29" s="18" t="s">
        <v>230</v>
      </c>
      <c r="C29" s="18" t="s">
        <v>122</v>
      </c>
      <c r="D29" s="17" t="s">
        <v>123</v>
      </c>
    </row>
    <row r="30" s="1" customFormat="1" customHeight="1" spans="1:4">
      <c r="A30" s="17" t="s">
        <v>231</v>
      </c>
      <c r="B30" s="18" t="s">
        <v>230</v>
      </c>
      <c r="C30" s="18" t="s">
        <v>108</v>
      </c>
      <c r="D30" s="17" t="s">
        <v>232</v>
      </c>
    </row>
    <row r="31" s="1" customFormat="1" customHeight="1" spans="1:4">
      <c r="A31" s="17" t="s">
        <v>159</v>
      </c>
      <c r="B31" s="18" t="s">
        <v>230</v>
      </c>
      <c r="C31" s="18" t="s">
        <v>122</v>
      </c>
      <c r="D31" s="17" t="s">
        <v>117</v>
      </c>
    </row>
    <row r="32" s="1" customFormat="1" customHeight="1" spans="1:4">
      <c r="A32" s="17" t="s">
        <v>40</v>
      </c>
      <c r="B32" s="18" t="s">
        <v>230</v>
      </c>
      <c r="C32" s="18" t="s">
        <v>122</v>
      </c>
      <c r="D32" s="17" t="s">
        <v>123</v>
      </c>
    </row>
    <row r="33" s="1" customFormat="1" customHeight="1" spans="1:4">
      <c r="A33" s="17" t="s">
        <v>233</v>
      </c>
      <c r="B33" s="18" t="s">
        <v>153</v>
      </c>
      <c r="C33" s="18" t="s">
        <v>122</v>
      </c>
      <c r="D33" s="17" t="s">
        <v>123</v>
      </c>
    </row>
    <row r="34" s="1" customFormat="1" customHeight="1" spans="1:4">
      <c r="A34" s="17" t="s">
        <v>234</v>
      </c>
      <c r="B34" s="18" t="s">
        <v>153</v>
      </c>
      <c r="C34" s="18" t="s">
        <v>122</v>
      </c>
      <c r="D34" s="17" t="s">
        <v>117</v>
      </c>
    </row>
    <row r="35" s="1" customFormat="1" customHeight="1" spans="1:4">
      <c r="A35" s="17" t="s">
        <v>235</v>
      </c>
      <c r="B35" s="18" t="s">
        <v>153</v>
      </c>
      <c r="C35" s="18" t="s">
        <v>122</v>
      </c>
      <c r="D35" s="17" t="s">
        <v>117</v>
      </c>
    </row>
    <row r="36" s="1" customFormat="1" customHeight="1" spans="1:4">
      <c r="A36" s="17" t="s">
        <v>155</v>
      </c>
      <c r="B36" s="18" t="s">
        <v>153</v>
      </c>
      <c r="C36" s="18" t="s">
        <v>105</v>
      </c>
      <c r="D36" s="17" t="s">
        <v>57</v>
      </c>
    </row>
    <row r="37" s="1" customFormat="1" customHeight="1" spans="1:4">
      <c r="A37" s="17" t="s">
        <v>94</v>
      </c>
      <c r="B37" s="18" t="s">
        <v>153</v>
      </c>
      <c r="C37" s="18" t="s">
        <v>116</v>
      </c>
      <c r="D37" s="17" t="s">
        <v>117</v>
      </c>
    </row>
    <row r="38" s="1" customFormat="1" customHeight="1" spans="1:4">
      <c r="A38" s="17" t="s">
        <v>50</v>
      </c>
      <c r="B38" s="18" t="s">
        <v>153</v>
      </c>
      <c r="C38" s="18" t="s">
        <v>122</v>
      </c>
      <c r="D38" s="17" t="s">
        <v>117</v>
      </c>
    </row>
    <row r="39" s="1" customFormat="1" customHeight="1" spans="1:4">
      <c r="A39" s="17" t="s">
        <v>73</v>
      </c>
      <c r="B39" s="18" t="s">
        <v>153</v>
      </c>
      <c r="C39" s="18" t="s">
        <v>122</v>
      </c>
      <c r="D39" s="17" t="s">
        <v>123</v>
      </c>
    </row>
    <row r="40" s="1" customFormat="1" customHeight="1" spans="1:4">
      <c r="A40" s="17" t="s">
        <v>236</v>
      </c>
      <c r="B40" s="18" t="s">
        <v>158</v>
      </c>
      <c r="C40" s="18" t="s">
        <v>146</v>
      </c>
      <c r="D40" s="17" t="s">
        <v>17</v>
      </c>
    </row>
    <row r="41" s="1" customFormat="1" customHeight="1" spans="1:4">
      <c r="A41" s="17" t="s">
        <v>237</v>
      </c>
      <c r="B41" s="18" t="s">
        <v>158</v>
      </c>
      <c r="C41" s="18" t="s">
        <v>146</v>
      </c>
      <c r="D41" s="17" t="s">
        <v>17</v>
      </c>
    </row>
    <row r="42" s="1" customFormat="1" customHeight="1" spans="1:4">
      <c r="A42" s="17" t="s">
        <v>98</v>
      </c>
      <c r="B42" s="18" t="s">
        <v>158</v>
      </c>
      <c r="C42" s="18" t="s">
        <v>122</v>
      </c>
      <c r="D42" s="17" t="s">
        <v>117</v>
      </c>
    </row>
    <row r="43" s="1" customFormat="1" customHeight="1" spans="1:4">
      <c r="A43" s="17" t="s">
        <v>238</v>
      </c>
      <c r="B43" s="18" t="s">
        <v>158</v>
      </c>
      <c r="C43" s="18" t="s">
        <v>122</v>
      </c>
      <c r="D43" s="17" t="s">
        <v>123</v>
      </c>
    </row>
    <row r="44" s="1" customFormat="1" customHeight="1" spans="1:4">
      <c r="A44" s="17" t="s">
        <v>239</v>
      </c>
      <c r="B44" s="18" t="s">
        <v>158</v>
      </c>
      <c r="C44" s="18" t="s">
        <v>116</v>
      </c>
      <c r="D44" s="17" t="s">
        <v>117</v>
      </c>
    </row>
    <row r="45" s="1" customFormat="1" customHeight="1" spans="1:4">
      <c r="A45" s="17" t="s">
        <v>147</v>
      </c>
      <c r="B45" s="18" t="s">
        <v>158</v>
      </c>
      <c r="C45" s="18" t="s">
        <v>122</v>
      </c>
      <c r="D45" s="17" t="s">
        <v>117</v>
      </c>
    </row>
    <row r="46" s="1" customFormat="1" customHeight="1" spans="1:4">
      <c r="A46" s="17" t="s">
        <v>58</v>
      </c>
      <c r="B46" s="18" t="s">
        <v>158</v>
      </c>
      <c r="C46" s="18" t="s">
        <v>122</v>
      </c>
      <c r="D46" s="17" t="s">
        <v>123</v>
      </c>
    </row>
    <row r="47" s="1" customFormat="1" customHeight="1" spans="1:4">
      <c r="A47" s="17" t="s">
        <v>95</v>
      </c>
      <c r="B47" s="18" t="s">
        <v>158</v>
      </c>
      <c r="C47" s="18" t="s">
        <v>122</v>
      </c>
      <c r="D47" s="17" t="s">
        <v>117</v>
      </c>
    </row>
    <row r="48" s="1" customFormat="1" customHeight="1" spans="1:4">
      <c r="A48" s="17" t="s">
        <v>240</v>
      </c>
      <c r="B48" s="18" t="s">
        <v>158</v>
      </c>
      <c r="C48" s="18" t="s">
        <v>146</v>
      </c>
      <c r="D48" s="17" t="s">
        <v>17</v>
      </c>
    </row>
    <row r="49" s="1" customFormat="1" customHeight="1" spans="1:4">
      <c r="A49" s="17" t="s">
        <v>241</v>
      </c>
      <c r="B49" s="18" t="s">
        <v>158</v>
      </c>
      <c r="C49" s="18" t="s">
        <v>105</v>
      </c>
      <c r="D49" s="17" t="s">
        <v>57</v>
      </c>
    </row>
    <row r="50" s="1" customFormat="1" customHeight="1" spans="1:4">
      <c r="A50" s="17" t="s">
        <v>60</v>
      </c>
      <c r="B50" s="18" t="s">
        <v>242</v>
      </c>
      <c r="C50" s="18" t="s">
        <v>122</v>
      </c>
      <c r="D50" s="17" t="s">
        <v>123</v>
      </c>
    </row>
    <row r="51" s="1" customFormat="1" customHeight="1" spans="1:4">
      <c r="A51" s="17" t="s">
        <v>81</v>
      </c>
      <c r="B51" s="18" t="s">
        <v>242</v>
      </c>
      <c r="C51" s="18" t="s">
        <v>122</v>
      </c>
      <c r="D51" s="17" t="s">
        <v>123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G4" sqref="G4:G8"/>
    </sheetView>
  </sheetViews>
  <sheetFormatPr defaultColWidth="9" defaultRowHeight="25" customHeight="1" outlineLevelCol="7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7</v>
      </c>
      <c r="B2" s="4" t="s">
        <v>243</v>
      </c>
      <c r="C2" s="4" t="s">
        <v>105</v>
      </c>
      <c r="D2" s="3" t="s">
        <v>9</v>
      </c>
    </row>
    <row r="3" s="1" customFormat="1" customHeight="1" spans="1:4">
      <c r="A3" s="3" t="s">
        <v>3</v>
      </c>
      <c r="B3" s="4" t="s">
        <v>244</v>
      </c>
      <c r="C3" s="4" t="s">
        <v>122</v>
      </c>
      <c r="D3" s="3" t="s">
        <v>5</v>
      </c>
    </row>
    <row r="4" s="1" customFormat="1" customHeight="1" spans="1:7">
      <c r="A4" s="3" t="s">
        <v>43</v>
      </c>
      <c r="B4" s="4" t="s">
        <v>244</v>
      </c>
      <c r="C4" s="4" t="s">
        <v>113</v>
      </c>
      <c r="D4" s="3" t="s">
        <v>44</v>
      </c>
      <c r="G4" s="5" t="s">
        <v>6</v>
      </c>
    </row>
    <row r="5" s="1" customFormat="1" customHeight="1" spans="1:7">
      <c r="A5" s="3" t="s">
        <v>11</v>
      </c>
      <c r="B5" s="4" t="s">
        <v>245</v>
      </c>
      <c r="C5" s="4" t="s">
        <v>108</v>
      </c>
      <c r="D5" s="3" t="s">
        <v>13</v>
      </c>
      <c r="G5" s="5" t="s">
        <v>10</v>
      </c>
    </row>
    <row r="6" s="1" customFormat="1" customHeight="1" spans="1:7">
      <c r="A6" s="3" t="s">
        <v>19</v>
      </c>
      <c r="B6" s="4" t="s">
        <v>246</v>
      </c>
      <c r="C6" s="4" t="s">
        <v>122</v>
      </c>
      <c r="D6" s="3" t="s">
        <v>21</v>
      </c>
      <c r="G6" s="5" t="s">
        <v>14</v>
      </c>
    </row>
    <row r="7" s="1" customFormat="1" customHeight="1" spans="1:7">
      <c r="A7" s="3" t="s">
        <v>74</v>
      </c>
      <c r="B7" s="4" t="s">
        <v>247</v>
      </c>
      <c r="C7" s="4" t="s">
        <v>122</v>
      </c>
      <c r="D7" s="3"/>
      <c r="G7" s="5" t="s">
        <v>248</v>
      </c>
    </row>
    <row r="8" s="1" customFormat="1" customHeight="1" spans="1:7">
      <c r="A8" s="3" t="s">
        <v>227</v>
      </c>
      <c r="B8" s="4" t="s">
        <v>249</v>
      </c>
      <c r="C8" s="4" t="s">
        <v>122</v>
      </c>
      <c r="D8" s="3" t="s">
        <v>21</v>
      </c>
      <c r="G8" s="5" t="s">
        <v>27</v>
      </c>
    </row>
    <row r="9" s="1" customFormat="1" customHeight="1" spans="1:8">
      <c r="A9" s="3" t="s">
        <v>25</v>
      </c>
      <c r="B9" s="4" t="s">
        <v>249</v>
      </c>
      <c r="C9" s="4" t="s">
        <v>122</v>
      </c>
      <c r="D9" s="3" t="s">
        <v>5</v>
      </c>
      <c r="G9" s="2" t="s">
        <v>181</v>
      </c>
      <c r="H9" s="2" t="s">
        <v>182</v>
      </c>
    </row>
    <row r="10" s="1" customFormat="1" customHeight="1" spans="1:8">
      <c r="A10" s="3" t="s">
        <v>238</v>
      </c>
      <c r="B10" s="4" t="s">
        <v>250</v>
      </c>
      <c r="C10" s="4" t="s">
        <v>122</v>
      </c>
      <c r="D10" s="3" t="s">
        <v>49</v>
      </c>
      <c r="G10" s="13" t="s">
        <v>135</v>
      </c>
      <c r="H10" s="14">
        <v>21.33</v>
      </c>
    </row>
    <row r="11" s="1" customFormat="1" customHeight="1" spans="1:8">
      <c r="A11" s="3" t="s">
        <v>15</v>
      </c>
      <c r="B11" s="4" t="s">
        <v>250</v>
      </c>
      <c r="C11" s="4" t="s">
        <v>146</v>
      </c>
      <c r="D11" s="3" t="s">
        <v>17</v>
      </c>
      <c r="G11" s="13" t="s">
        <v>136</v>
      </c>
      <c r="H11" s="14">
        <v>75.54</v>
      </c>
    </row>
    <row r="12" s="1" customFormat="1" customHeight="1" spans="1:8">
      <c r="A12" s="3" t="s">
        <v>65</v>
      </c>
      <c r="B12" s="4" t="s">
        <v>250</v>
      </c>
      <c r="C12" s="4" t="s">
        <v>122</v>
      </c>
      <c r="D12" s="3" t="s">
        <v>49</v>
      </c>
      <c r="G12" s="13" t="s">
        <v>137</v>
      </c>
      <c r="H12" s="14">
        <v>75.54</v>
      </c>
    </row>
    <row r="13" s="1" customFormat="1" customHeight="1" spans="1:8">
      <c r="A13" s="3" t="s">
        <v>68</v>
      </c>
      <c r="B13" s="4" t="s">
        <v>250</v>
      </c>
      <c r="C13" s="4" t="s">
        <v>122</v>
      </c>
      <c r="D13" s="3" t="s">
        <v>21</v>
      </c>
      <c r="G13" s="13" t="s">
        <v>185</v>
      </c>
      <c r="H13" s="14">
        <v>234.05</v>
      </c>
    </row>
    <row r="14" s="1" customFormat="1" customHeight="1" spans="1:8">
      <c r="A14" s="3" t="s">
        <v>251</v>
      </c>
      <c r="B14" s="4" t="s">
        <v>183</v>
      </c>
      <c r="C14" s="4" t="s">
        <v>116</v>
      </c>
      <c r="D14" s="3" t="s">
        <v>83</v>
      </c>
      <c r="G14" s="13" t="s">
        <v>186</v>
      </c>
      <c r="H14" s="15">
        <v>0.756</v>
      </c>
    </row>
    <row r="15" s="1" customFormat="1" customHeight="1" spans="1:8">
      <c r="A15" s="3" t="s">
        <v>40</v>
      </c>
      <c r="B15" s="4" t="s">
        <v>183</v>
      </c>
      <c r="C15" s="4" t="s">
        <v>122</v>
      </c>
      <c r="D15" s="3" t="s">
        <v>21</v>
      </c>
      <c r="G15" s="13" t="s">
        <v>187</v>
      </c>
      <c r="H15" s="15">
        <v>0.244</v>
      </c>
    </row>
    <row r="16" s="1" customFormat="1" customHeight="1" spans="1:8">
      <c r="A16" s="3" t="s">
        <v>66</v>
      </c>
      <c r="B16" s="4" t="s">
        <v>183</v>
      </c>
      <c r="C16" s="4" t="s">
        <v>122</v>
      </c>
      <c r="D16" s="3"/>
      <c r="G16" s="13" t="s">
        <v>139</v>
      </c>
      <c r="H16" s="14">
        <v>469.17</v>
      </c>
    </row>
    <row r="17" s="1" customFormat="1" customHeight="1" spans="1:8">
      <c r="A17" s="3" t="s">
        <v>50</v>
      </c>
      <c r="B17" s="4" t="s">
        <v>183</v>
      </c>
      <c r="C17" s="4" t="s">
        <v>122</v>
      </c>
      <c r="D17" s="3"/>
      <c r="G17" s="13" t="s">
        <v>189</v>
      </c>
      <c r="H17" s="14">
        <v>578.43</v>
      </c>
    </row>
    <row r="18" s="1" customFormat="1" customHeight="1" spans="1:4">
      <c r="A18" s="3" t="s">
        <v>234</v>
      </c>
      <c r="B18" s="4" t="s">
        <v>131</v>
      </c>
      <c r="C18" s="4" t="s">
        <v>122</v>
      </c>
      <c r="D18" s="3"/>
    </row>
    <row r="19" s="1" customFormat="1" customHeight="1" spans="1:4">
      <c r="A19" s="3" t="s">
        <v>54</v>
      </c>
      <c r="B19" s="4" t="s">
        <v>131</v>
      </c>
      <c r="C19" s="4" t="s">
        <v>122</v>
      </c>
      <c r="D19" s="3" t="s">
        <v>55</v>
      </c>
    </row>
    <row r="20" s="1" customFormat="1" customHeight="1" spans="1:4">
      <c r="A20" s="3" t="s">
        <v>95</v>
      </c>
      <c r="B20" s="4" t="s">
        <v>131</v>
      </c>
      <c r="C20" s="4" t="s">
        <v>122</v>
      </c>
      <c r="D20" s="3"/>
    </row>
    <row r="21" s="1" customFormat="1" customHeight="1" spans="1:4">
      <c r="A21" s="3" t="s">
        <v>76</v>
      </c>
      <c r="B21" s="4" t="s">
        <v>131</v>
      </c>
      <c r="C21" s="4" t="s">
        <v>122</v>
      </c>
      <c r="D21" s="3" t="s">
        <v>77</v>
      </c>
    </row>
    <row r="22" s="1" customFormat="1" customHeight="1" spans="1:4">
      <c r="A22" s="3" t="s">
        <v>78</v>
      </c>
      <c r="B22" s="4" t="s">
        <v>131</v>
      </c>
      <c r="C22" s="4" t="s">
        <v>122</v>
      </c>
      <c r="D22" s="3"/>
    </row>
    <row r="23" s="1" customFormat="1" customHeight="1" spans="1:4">
      <c r="A23" s="3" t="s">
        <v>233</v>
      </c>
      <c r="B23" s="4" t="s">
        <v>131</v>
      </c>
      <c r="C23" s="4" t="s">
        <v>122</v>
      </c>
      <c r="D23" s="3" t="s">
        <v>21</v>
      </c>
    </row>
    <row r="24" s="1" customFormat="1" customHeight="1" spans="1:4">
      <c r="A24" s="3" t="s">
        <v>62</v>
      </c>
      <c r="B24" s="4" t="s">
        <v>131</v>
      </c>
      <c r="C24" s="4" t="s">
        <v>122</v>
      </c>
      <c r="D24" s="3" t="s">
        <v>21</v>
      </c>
    </row>
    <row r="25" s="1" customFormat="1" customHeight="1" spans="1:4">
      <c r="A25" s="3" t="s">
        <v>94</v>
      </c>
      <c r="B25" s="4" t="s">
        <v>131</v>
      </c>
      <c r="C25" s="4" t="s">
        <v>116</v>
      </c>
      <c r="D25" s="3"/>
    </row>
    <row r="26" s="1" customFormat="1" customHeight="1" spans="1:4">
      <c r="A26" s="3" t="s">
        <v>252</v>
      </c>
      <c r="B26" s="4" t="s">
        <v>193</v>
      </c>
      <c r="C26" s="4" t="s">
        <v>122</v>
      </c>
      <c r="D26" s="3" t="s">
        <v>199</v>
      </c>
    </row>
    <row r="27" s="1" customFormat="1" customHeight="1" spans="1:4">
      <c r="A27" s="3" t="s">
        <v>213</v>
      </c>
      <c r="B27" s="4" t="s">
        <v>193</v>
      </c>
      <c r="C27" s="4" t="s">
        <v>122</v>
      </c>
      <c r="D27" s="3"/>
    </row>
    <row r="28" s="1" customFormat="1" customHeight="1" spans="1:4">
      <c r="A28" s="3" t="s">
        <v>48</v>
      </c>
      <c r="B28" s="4" t="s">
        <v>193</v>
      </c>
      <c r="C28" s="4" t="s">
        <v>122</v>
      </c>
      <c r="D28" s="3" t="s">
        <v>49</v>
      </c>
    </row>
    <row r="29" s="1" customFormat="1" customHeight="1" spans="1:4">
      <c r="A29" s="3" t="s">
        <v>72</v>
      </c>
      <c r="B29" s="4" t="s">
        <v>193</v>
      </c>
      <c r="C29" s="4" t="s">
        <v>122</v>
      </c>
      <c r="D29" s="3"/>
    </row>
    <row r="30" s="1" customFormat="1" customHeight="1" spans="1:4">
      <c r="A30" s="3" t="s">
        <v>64</v>
      </c>
      <c r="B30" s="4" t="s">
        <v>193</v>
      </c>
      <c r="C30" s="4" t="s">
        <v>122</v>
      </c>
      <c r="D30" s="3"/>
    </row>
    <row r="31" s="1" customFormat="1" customHeight="1" spans="1:4">
      <c r="A31" s="3" t="s">
        <v>58</v>
      </c>
      <c r="B31" s="4" t="s">
        <v>193</v>
      </c>
      <c r="C31" s="4" t="s">
        <v>122</v>
      </c>
      <c r="D31" s="3" t="s">
        <v>5</v>
      </c>
    </row>
    <row r="32" s="1" customFormat="1" customHeight="1" spans="1:4">
      <c r="A32" s="3" t="s">
        <v>86</v>
      </c>
      <c r="B32" s="4" t="s">
        <v>193</v>
      </c>
      <c r="C32" s="4" t="s">
        <v>122</v>
      </c>
      <c r="D32" s="3"/>
    </row>
    <row r="33" s="1" customFormat="1" customHeight="1" spans="1:4">
      <c r="A33" s="3" t="s">
        <v>96</v>
      </c>
      <c r="B33" s="4" t="s">
        <v>193</v>
      </c>
      <c r="C33" s="4" t="s">
        <v>122</v>
      </c>
      <c r="D33" s="3" t="s">
        <v>97</v>
      </c>
    </row>
    <row r="34" s="1" customFormat="1" customHeight="1" spans="1:4">
      <c r="A34" s="3" t="s">
        <v>52</v>
      </c>
      <c r="B34" s="4" t="s">
        <v>193</v>
      </c>
      <c r="C34" s="4" t="s">
        <v>122</v>
      </c>
      <c r="D34" s="3" t="s">
        <v>53</v>
      </c>
    </row>
    <row r="35" s="1" customFormat="1" customHeight="1" spans="1:4">
      <c r="A35" s="3" t="s">
        <v>188</v>
      </c>
      <c r="B35" s="4" t="s">
        <v>193</v>
      </c>
      <c r="C35" s="4" t="s">
        <v>108</v>
      </c>
      <c r="D35" s="3" t="s">
        <v>55</v>
      </c>
    </row>
    <row r="36" s="1" customFormat="1" customHeight="1" spans="1:4">
      <c r="A36" s="3" t="s">
        <v>253</v>
      </c>
      <c r="B36" s="4" t="s">
        <v>193</v>
      </c>
      <c r="C36" s="4" t="s">
        <v>122</v>
      </c>
      <c r="D36" s="3" t="s">
        <v>21</v>
      </c>
    </row>
    <row r="37" s="1" customFormat="1" customHeight="1" spans="1:4">
      <c r="A37" s="3" t="s">
        <v>254</v>
      </c>
      <c r="B37" s="4" t="s">
        <v>193</v>
      </c>
      <c r="C37" s="4" t="s">
        <v>122</v>
      </c>
      <c r="D37" s="3" t="s">
        <v>77</v>
      </c>
    </row>
    <row r="38" s="1" customFormat="1" customHeight="1" spans="1:4">
      <c r="A38" s="3" t="s">
        <v>194</v>
      </c>
      <c r="B38" s="4" t="s">
        <v>193</v>
      </c>
      <c r="C38" s="4" t="s">
        <v>122</v>
      </c>
      <c r="D38" s="3"/>
    </row>
    <row r="39" s="1" customFormat="1" customHeight="1" spans="1:4">
      <c r="A39" s="3" t="s">
        <v>192</v>
      </c>
      <c r="B39" s="4" t="s">
        <v>193</v>
      </c>
      <c r="C39" s="4" t="s">
        <v>122</v>
      </c>
      <c r="D39" s="3" t="s">
        <v>49</v>
      </c>
    </row>
    <row r="40" s="1" customFormat="1" customHeight="1" spans="1:4">
      <c r="A40" s="3" t="s">
        <v>255</v>
      </c>
      <c r="B40" s="4" t="s">
        <v>205</v>
      </c>
      <c r="C40" s="4" t="s">
        <v>122</v>
      </c>
      <c r="D40" s="3" t="s">
        <v>49</v>
      </c>
    </row>
    <row r="41" s="1" customFormat="1" customHeight="1" spans="1:4">
      <c r="A41" s="3" t="s">
        <v>256</v>
      </c>
      <c r="B41" s="4" t="s">
        <v>205</v>
      </c>
      <c r="C41" s="4" t="s">
        <v>122</v>
      </c>
      <c r="D41" s="3" t="s">
        <v>49</v>
      </c>
    </row>
    <row r="42" s="1" customFormat="1" customHeight="1" spans="1:4">
      <c r="A42" s="3" t="s">
        <v>184</v>
      </c>
      <c r="B42" s="4" t="s">
        <v>205</v>
      </c>
      <c r="C42" s="4" t="s">
        <v>146</v>
      </c>
      <c r="D42" s="3" t="s">
        <v>17</v>
      </c>
    </row>
    <row r="43" s="1" customFormat="1" customHeight="1" spans="1:4">
      <c r="A43" s="3" t="s">
        <v>257</v>
      </c>
      <c r="B43" s="4" t="s">
        <v>205</v>
      </c>
      <c r="C43" s="4" t="s">
        <v>122</v>
      </c>
      <c r="D43" s="3"/>
    </row>
    <row r="44" s="1" customFormat="1" customHeight="1" spans="1:4">
      <c r="A44" s="3" t="s">
        <v>258</v>
      </c>
      <c r="B44" s="4" t="s">
        <v>205</v>
      </c>
      <c r="C44" s="4" t="s">
        <v>122</v>
      </c>
      <c r="D44" s="3"/>
    </row>
    <row r="45" s="1" customFormat="1" customHeight="1" spans="1:4">
      <c r="A45" s="3" t="s">
        <v>93</v>
      </c>
      <c r="B45" s="4" t="s">
        <v>205</v>
      </c>
      <c r="C45" s="4" t="s">
        <v>122</v>
      </c>
      <c r="D45" s="3"/>
    </row>
    <row r="46" s="1" customFormat="1" customHeight="1" spans="1:4">
      <c r="A46" s="3" t="s">
        <v>75</v>
      </c>
      <c r="B46" s="4" t="s">
        <v>205</v>
      </c>
      <c r="C46" s="4" t="s">
        <v>122</v>
      </c>
      <c r="D46" s="3"/>
    </row>
    <row r="47" s="1" customFormat="1" customHeight="1" spans="1:4">
      <c r="A47" s="3" t="s">
        <v>200</v>
      </c>
      <c r="B47" s="4" t="s">
        <v>205</v>
      </c>
      <c r="C47" s="4" t="s">
        <v>116</v>
      </c>
      <c r="D47" s="3"/>
    </row>
    <row r="48" s="1" customFormat="1" customHeight="1" spans="1:4">
      <c r="A48" s="3" t="s">
        <v>204</v>
      </c>
      <c r="B48" s="4" t="s">
        <v>205</v>
      </c>
      <c r="C48" s="4" t="s">
        <v>122</v>
      </c>
      <c r="D48" s="3"/>
    </row>
    <row r="49" s="1" customFormat="1" customHeight="1" spans="1:4">
      <c r="A49" s="3" t="s">
        <v>73</v>
      </c>
      <c r="B49" s="4" t="s">
        <v>205</v>
      </c>
      <c r="C49" s="4" t="s">
        <v>122</v>
      </c>
      <c r="D49" s="3" t="s">
        <v>5</v>
      </c>
    </row>
    <row r="50" s="1" customFormat="1" customHeight="1" spans="1:4">
      <c r="A50" s="3" t="s">
        <v>259</v>
      </c>
      <c r="B50" s="4" t="s">
        <v>205</v>
      </c>
      <c r="C50" s="4" t="s">
        <v>146</v>
      </c>
      <c r="D50" s="3" t="s">
        <v>17</v>
      </c>
    </row>
    <row r="51" s="1" customFormat="1" customHeight="1" spans="1:4">
      <c r="A51" s="3" t="s">
        <v>157</v>
      </c>
      <c r="B51" s="4" t="s">
        <v>205</v>
      </c>
      <c r="C51" s="4" t="s">
        <v>122</v>
      </c>
      <c r="D51" s="3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K9" sqref="K9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12.7272727272727" style="1"/>
    <col min="9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118</v>
      </c>
      <c r="B2" s="4" t="s">
        <v>260</v>
      </c>
      <c r="C2" s="4" t="s">
        <v>105</v>
      </c>
      <c r="D2" s="3" t="s">
        <v>57</v>
      </c>
    </row>
    <row r="3" s="1" customFormat="1" customHeight="1" spans="1:4">
      <c r="A3" s="3" t="s">
        <v>130</v>
      </c>
      <c r="B3" s="4" t="s">
        <v>261</v>
      </c>
      <c r="C3" s="4" t="s">
        <v>105</v>
      </c>
      <c r="D3" s="3" t="s">
        <v>57</v>
      </c>
    </row>
    <row r="4" s="1" customFormat="1" ht="28" customHeight="1" spans="1:7">
      <c r="A4" s="3" t="s">
        <v>109</v>
      </c>
      <c r="B4" s="4" t="s">
        <v>215</v>
      </c>
      <c r="C4" s="4" t="s">
        <v>105</v>
      </c>
      <c r="D4" s="3" t="s">
        <v>57</v>
      </c>
      <c r="G4" s="5"/>
    </row>
    <row r="5" s="1" customFormat="1" ht="28" customHeight="1" spans="1:7">
      <c r="A5" s="3" t="s">
        <v>106</v>
      </c>
      <c r="B5" s="4" t="s">
        <v>216</v>
      </c>
      <c r="C5" s="4" t="s">
        <v>108</v>
      </c>
      <c r="D5" s="3" t="s">
        <v>13</v>
      </c>
      <c r="G5" s="5" t="s">
        <v>6</v>
      </c>
    </row>
    <row r="6" s="1" customFormat="1" customHeight="1" spans="1:7">
      <c r="A6" s="3" t="s">
        <v>115</v>
      </c>
      <c r="B6" s="4" t="s">
        <v>4</v>
      </c>
      <c r="C6" s="4" t="s">
        <v>116</v>
      </c>
      <c r="D6" s="3"/>
      <c r="G6" s="5" t="s">
        <v>120</v>
      </c>
    </row>
    <row r="7" s="1" customFormat="1" customHeight="1" spans="1:7">
      <c r="A7" s="3" t="s">
        <v>3</v>
      </c>
      <c r="B7" s="4" t="s">
        <v>262</v>
      </c>
      <c r="C7" s="4" t="s">
        <v>122</v>
      </c>
      <c r="D7" s="3" t="s">
        <v>123</v>
      </c>
      <c r="G7" s="5" t="s">
        <v>14</v>
      </c>
    </row>
    <row r="8" s="1" customFormat="1" customHeight="1" spans="1:7">
      <c r="A8" s="3" t="s">
        <v>132</v>
      </c>
      <c r="B8" s="4" t="s">
        <v>177</v>
      </c>
      <c r="C8" s="4" t="s">
        <v>116</v>
      </c>
      <c r="D8" s="3"/>
      <c r="G8" s="5" t="s">
        <v>248</v>
      </c>
    </row>
    <row r="9" s="1" customFormat="1" customHeight="1" spans="1:7">
      <c r="A9" s="3" t="s">
        <v>111</v>
      </c>
      <c r="B9" s="4" t="s">
        <v>263</v>
      </c>
      <c r="C9" s="4" t="s">
        <v>113</v>
      </c>
      <c r="D9" s="3" t="s">
        <v>114</v>
      </c>
      <c r="G9" s="5" t="s">
        <v>27</v>
      </c>
    </row>
    <row r="10" s="1" customFormat="1" customHeight="1" spans="1:8">
      <c r="A10" s="3" t="s">
        <v>103</v>
      </c>
      <c r="B10" s="4" t="s">
        <v>26</v>
      </c>
      <c r="C10" s="4" t="s">
        <v>105</v>
      </c>
      <c r="D10" s="3" t="s">
        <v>57</v>
      </c>
      <c r="G10" s="2" t="s">
        <v>181</v>
      </c>
      <c r="H10" s="2" t="s">
        <v>182</v>
      </c>
    </row>
    <row r="11" s="1" customFormat="1" customHeight="1" spans="1:8">
      <c r="A11" s="3" t="s">
        <v>25</v>
      </c>
      <c r="B11" s="4" t="s">
        <v>222</v>
      </c>
      <c r="C11" s="4" t="s">
        <v>122</v>
      </c>
      <c r="D11" s="3" t="s">
        <v>123</v>
      </c>
      <c r="G11" s="7" t="s">
        <v>135</v>
      </c>
      <c r="H11" s="9">
        <v>59.17</v>
      </c>
    </row>
    <row r="12" s="1" customFormat="1" ht="28" customHeight="1" spans="1:15">
      <c r="A12" s="3" t="s">
        <v>19</v>
      </c>
      <c r="B12" s="4" t="s">
        <v>223</v>
      </c>
      <c r="C12" s="4" t="s">
        <v>122</v>
      </c>
      <c r="D12" s="3" t="s">
        <v>123</v>
      </c>
      <c r="G12" s="7" t="s">
        <v>136</v>
      </c>
      <c r="H12" s="9">
        <v>221.73</v>
      </c>
      <c r="I12" s="7"/>
      <c r="J12" s="7"/>
      <c r="K12" s="7"/>
      <c r="L12" s="11"/>
      <c r="M12" s="11"/>
      <c r="N12" s="7"/>
      <c r="O12" s="7"/>
    </row>
    <row r="13" s="1" customFormat="1" ht="42" customHeight="1" spans="1:15">
      <c r="A13" s="3" t="s">
        <v>68</v>
      </c>
      <c r="B13" s="4" t="s">
        <v>224</v>
      </c>
      <c r="C13" s="4" t="s">
        <v>122</v>
      </c>
      <c r="D13" s="3" t="s">
        <v>123</v>
      </c>
      <c r="G13" s="7" t="s">
        <v>137</v>
      </c>
      <c r="H13" s="9">
        <v>221.73</v>
      </c>
      <c r="I13" s="7"/>
      <c r="J13" s="7"/>
      <c r="K13" s="7"/>
      <c r="L13" s="11"/>
      <c r="M13" s="11"/>
      <c r="N13" s="7"/>
      <c r="O13" s="7"/>
    </row>
    <row r="14" s="1" customFormat="1" customHeight="1" spans="1:15">
      <c r="A14" s="3" t="s">
        <v>23</v>
      </c>
      <c r="B14" s="4" t="s">
        <v>225</v>
      </c>
      <c r="C14" s="4" t="s">
        <v>122</v>
      </c>
      <c r="D14" s="3"/>
      <c r="G14" s="7" t="s">
        <v>185</v>
      </c>
      <c r="H14" s="9">
        <v>995.75</v>
      </c>
      <c r="I14" s="7"/>
      <c r="J14" s="7"/>
      <c r="K14" s="7"/>
      <c r="L14" s="11"/>
      <c r="M14" s="11"/>
      <c r="N14" s="7"/>
      <c r="O14" s="7"/>
    </row>
    <row r="15" s="1" customFormat="1" customHeight="1" spans="1:8">
      <c r="A15" s="3" t="s">
        <v>126</v>
      </c>
      <c r="B15" s="4" t="s">
        <v>226</v>
      </c>
      <c r="C15" s="4" t="s">
        <v>113</v>
      </c>
      <c r="D15" s="3" t="s">
        <v>114</v>
      </c>
      <c r="G15" s="7" t="s">
        <v>186</v>
      </c>
      <c r="H15" s="8">
        <v>0.8179</v>
      </c>
    </row>
    <row r="16" s="1" customFormat="1" customHeight="1" spans="1:8">
      <c r="A16" s="3" t="s">
        <v>124</v>
      </c>
      <c r="B16" s="4" t="s">
        <v>226</v>
      </c>
      <c r="C16" s="4" t="s">
        <v>105</v>
      </c>
      <c r="D16" s="3" t="s">
        <v>57</v>
      </c>
      <c r="G16" s="7" t="s">
        <v>187</v>
      </c>
      <c r="H16" s="8">
        <v>0.1821</v>
      </c>
    </row>
    <row r="17" s="1" customFormat="1" customHeight="1" spans="1:8">
      <c r="A17" s="3" t="s">
        <v>43</v>
      </c>
      <c r="B17" s="4" t="s">
        <v>226</v>
      </c>
      <c r="C17" s="4" t="s">
        <v>113</v>
      </c>
      <c r="D17" s="3" t="s">
        <v>44</v>
      </c>
      <c r="G17" s="7" t="s">
        <v>139</v>
      </c>
      <c r="H17" s="9">
        <v>169.05</v>
      </c>
    </row>
    <row r="18" s="1" customFormat="1" customHeight="1" spans="1:8">
      <c r="A18" s="3" t="s">
        <v>74</v>
      </c>
      <c r="B18" s="4" t="s">
        <v>129</v>
      </c>
      <c r="C18" s="4" t="s">
        <v>122</v>
      </c>
      <c r="D18" s="3"/>
      <c r="G18" s="7" t="s">
        <v>189</v>
      </c>
      <c r="H18" s="9">
        <v>120.22</v>
      </c>
    </row>
    <row r="19" s="1" customFormat="1" customHeight="1" spans="1:4">
      <c r="A19" s="3" t="s">
        <v>62</v>
      </c>
      <c r="B19" s="4" t="s">
        <v>59</v>
      </c>
      <c r="C19" s="4" t="s">
        <v>122</v>
      </c>
      <c r="D19" s="3" t="s">
        <v>123</v>
      </c>
    </row>
    <row r="20" s="1" customFormat="1" customHeight="1" spans="1:4">
      <c r="A20" s="3" t="s">
        <v>54</v>
      </c>
      <c r="B20" s="4" t="s">
        <v>133</v>
      </c>
      <c r="C20" s="4" t="s">
        <v>122</v>
      </c>
      <c r="D20" s="3" t="s">
        <v>55</v>
      </c>
    </row>
    <row r="21" s="1" customFormat="1" customHeight="1" spans="1:4">
      <c r="A21" s="3" t="s">
        <v>86</v>
      </c>
      <c r="B21" s="4" t="s">
        <v>61</v>
      </c>
      <c r="C21" s="4" t="s">
        <v>122</v>
      </c>
      <c r="D21" s="3"/>
    </row>
    <row r="22" s="1" customFormat="1" customHeight="1" spans="1:4">
      <c r="A22" s="3" t="s">
        <v>144</v>
      </c>
      <c r="B22" s="4" t="s">
        <v>61</v>
      </c>
      <c r="C22" s="4" t="s">
        <v>146</v>
      </c>
      <c r="D22" s="3" t="s">
        <v>17</v>
      </c>
    </row>
    <row r="23" s="1" customFormat="1" customHeight="1" spans="1:8">
      <c r="A23" s="3" t="s">
        <v>58</v>
      </c>
      <c r="B23" s="4" t="s">
        <v>229</v>
      </c>
      <c r="C23" s="4" t="s">
        <v>122</v>
      </c>
      <c r="D23" s="3" t="s">
        <v>123</v>
      </c>
      <c r="G23" s="7"/>
      <c r="H23"/>
    </row>
    <row r="24" s="1" customFormat="1" customHeight="1" spans="1:8">
      <c r="A24" s="3" t="s">
        <v>15</v>
      </c>
      <c r="B24" s="4" t="s">
        <v>229</v>
      </c>
      <c r="C24" s="4" t="s">
        <v>146</v>
      </c>
      <c r="D24" s="3" t="s">
        <v>17</v>
      </c>
      <c r="G24" s="7"/>
      <c r="H24" s="7"/>
    </row>
    <row r="25" s="1" customFormat="1" customHeight="1" spans="1:8">
      <c r="A25" s="3" t="s">
        <v>184</v>
      </c>
      <c r="B25" s="4" t="s">
        <v>229</v>
      </c>
      <c r="C25" s="4" t="s">
        <v>146</v>
      </c>
      <c r="D25" s="3" t="s">
        <v>17</v>
      </c>
      <c r="G25" s="7"/>
      <c r="H25" s="7"/>
    </row>
    <row r="26" s="1" customFormat="1" customHeight="1" spans="1:4">
      <c r="A26" s="3" t="s">
        <v>231</v>
      </c>
      <c r="B26" s="4" t="s">
        <v>148</v>
      </c>
      <c r="C26" s="4" t="s">
        <v>108</v>
      </c>
      <c r="D26" s="3" t="s">
        <v>232</v>
      </c>
    </row>
    <row r="27" s="1" customFormat="1" customHeight="1" spans="1:4">
      <c r="A27" s="3" t="s">
        <v>147</v>
      </c>
      <c r="B27" s="4" t="s">
        <v>148</v>
      </c>
      <c r="C27" s="4" t="s">
        <v>122</v>
      </c>
      <c r="D27" s="3"/>
    </row>
    <row r="28" s="1" customFormat="1" customHeight="1" spans="1:4">
      <c r="A28" s="3" t="s">
        <v>264</v>
      </c>
      <c r="B28" s="4" t="s">
        <v>148</v>
      </c>
      <c r="C28" s="4" t="s">
        <v>122</v>
      </c>
      <c r="D28" s="3" t="s">
        <v>123</v>
      </c>
    </row>
    <row r="29" s="1" customFormat="1" customHeight="1" spans="1:4">
      <c r="A29" s="3" t="s">
        <v>60</v>
      </c>
      <c r="B29" s="4" t="s">
        <v>148</v>
      </c>
      <c r="C29" s="4" t="s">
        <v>122</v>
      </c>
      <c r="D29" s="3" t="s">
        <v>123</v>
      </c>
    </row>
    <row r="30" s="1" customFormat="1" customHeight="1" spans="1:4">
      <c r="A30" s="3" t="s">
        <v>40</v>
      </c>
      <c r="B30" s="4" t="s">
        <v>148</v>
      </c>
      <c r="C30" s="4" t="s">
        <v>122</v>
      </c>
      <c r="D30" s="3" t="s">
        <v>123</v>
      </c>
    </row>
    <row r="31" s="1" customFormat="1" customHeight="1" spans="1:4">
      <c r="A31" s="3" t="s">
        <v>241</v>
      </c>
      <c r="B31" s="4" t="s">
        <v>148</v>
      </c>
      <c r="C31" s="4" t="s">
        <v>105</v>
      </c>
      <c r="D31" s="3" t="s">
        <v>57</v>
      </c>
    </row>
    <row r="32" s="1" customFormat="1" customHeight="1" spans="1:4">
      <c r="A32" s="3" t="s">
        <v>265</v>
      </c>
      <c r="B32" s="4" t="s">
        <v>148</v>
      </c>
      <c r="C32" s="4" t="s">
        <v>122</v>
      </c>
      <c r="D32" s="3"/>
    </row>
    <row r="33" s="1" customFormat="1" customHeight="1" spans="1:4">
      <c r="A33" s="3" t="s">
        <v>238</v>
      </c>
      <c r="B33" s="4" t="s">
        <v>230</v>
      </c>
      <c r="C33" s="4" t="s">
        <v>122</v>
      </c>
      <c r="D33" s="3" t="s">
        <v>123</v>
      </c>
    </row>
    <row r="34" s="1" customFormat="1" customHeight="1" spans="1:4">
      <c r="A34" s="3" t="s">
        <v>213</v>
      </c>
      <c r="B34" s="4" t="s">
        <v>153</v>
      </c>
      <c r="C34" s="4" t="s">
        <v>122</v>
      </c>
      <c r="D34" s="3"/>
    </row>
    <row r="35" s="1" customFormat="1" customHeight="1" spans="1:4">
      <c r="A35" s="3" t="s">
        <v>155</v>
      </c>
      <c r="B35" s="4" t="s">
        <v>153</v>
      </c>
      <c r="C35" s="4" t="s">
        <v>105</v>
      </c>
      <c r="D35" s="3" t="s">
        <v>57</v>
      </c>
    </row>
    <row r="36" s="1" customFormat="1" customHeight="1" spans="1:4">
      <c r="A36" s="3" t="s">
        <v>50</v>
      </c>
      <c r="B36" s="4" t="s">
        <v>153</v>
      </c>
      <c r="C36" s="4" t="s">
        <v>122</v>
      </c>
      <c r="D36" s="3"/>
    </row>
    <row r="37" s="1" customFormat="1" customHeight="1" spans="1:4">
      <c r="A37" s="3" t="s">
        <v>227</v>
      </c>
      <c r="B37" s="4" t="s">
        <v>153</v>
      </c>
      <c r="C37" s="4" t="s">
        <v>122</v>
      </c>
      <c r="D37" s="3" t="s">
        <v>123</v>
      </c>
    </row>
    <row r="38" s="1" customFormat="1" customHeight="1" spans="1:4">
      <c r="A38" s="3" t="s">
        <v>233</v>
      </c>
      <c r="B38" s="4" t="s">
        <v>153</v>
      </c>
      <c r="C38" s="4" t="s">
        <v>122</v>
      </c>
      <c r="D38" s="3" t="s">
        <v>123</v>
      </c>
    </row>
    <row r="39" s="1" customFormat="1" customHeight="1" spans="1:4">
      <c r="A39" s="3" t="s">
        <v>157</v>
      </c>
      <c r="B39" s="4" t="s">
        <v>153</v>
      </c>
      <c r="C39" s="4" t="s">
        <v>122</v>
      </c>
      <c r="D39" s="3" t="s">
        <v>123</v>
      </c>
    </row>
    <row r="40" s="1" customFormat="1" customHeight="1" spans="1:4">
      <c r="A40" s="3" t="s">
        <v>46</v>
      </c>
      <c r="B40" s="4" t="s">
        <v>158</v>
      </c>
      <c r="C40" s="4" t="s">
        <v>122</v>
      </c>
      <c r="D40" s="3" t="s">
        <v>123</v>
      </c>
    </row>
    <row r="41" s="1" customFormat="1" customHeight="1" spans="1:4">
      <c r="A41" s="3" t="s">
        <v>48</v>
      </c>
      <c r="B41" s="4" t="s">
        <v>158</v>
      </c>
      <c r="C41" s="4" t="s">
        <v>122</v>
      </c>
      <c r="D41" s="3" t="s">
        <v>123</v>
      </c>
    </row>
    <row r="42" s="1" customFormat="1" customHeight="1" spans="1:4">
      <c r="A42" s="3" t="s">
        <v>94</v>
      </c>
      <c r="B42" s="4" t="s">
        <v>158</v>
      </c>
      <c r="C42" s="4" t="s">
        <v>116</v>
      </c>
      <c r="D42" s="3"/>
    </row>
    <row r="43" s="1" customFormat="1" customHeight="1" spans="1:4">
      <c r="A43" s="3" t="s">
        <v>80</v>
      </c>
      <c r="B43" s="4" t="s">
        <v>158</v>
      </c>
      <c r="C43" s="4" t="s">
        <v>122</v>
      </c>
      <c r="D43" s="3"/>
    </row>
    <row r="44" s="1" customFormat="1" customHeight="1" spans="1:4">
      <c r="A44" s="3" t="s">
        <v>159</v>
      </c>
      <c r="B44" s="4" t="s">
        <v>158</v>
      </c>
      <c r="C44" s="4" t="s">
        <v>122</v>
      </c>
      <c r="D44" s="3"/>
    </row>
    <row r="45" s="1" customFormat="1" customHeight="1" spans="1:4">
      <c r="A45" s="3" t="s">
        <v>266</v>
      </c>
      <c r="B45" s="4" t="s">
        <v>158</v>
      </c>
      <c r="C45" s="4" t="s">
        <v>108</v>
      </c>
      <c r="D45" s="3" t="s">
        <v>267</v>
      </c>
    </row>
    <row r="46" s="1" customFormat="1" customHeight="1" spans="1:4">
      <c r="A46" s="3" t="s">
        <v>98</v>
      </c>
      <c r="B46" s="4" t="s">
        <v>158</v>
      </c>
      <c r="C46" s="4" t="s">
        <v>122</v>
      </c>
      <c r="D46" s="3"/>
    </row>
    <row r="47" s="1" customFormat="1" customHeight="1" spans="1:4">
      <c r="A47" s="3" t="s">
        <v>96</v>
      </c>
      <c r="B47" s="4" t="s">
        <v>158</v>
      </c>
      <c r="C47" s="4" t="s">
        <v>122</v>
      </c>
      <c r="D47" s="3"/>
    </row>
    <row r="48" s="1" customFormat="1" customHeight="1" spans="1:4">
      <c r="A48" s="3" t="s">
        <v>268</v>
      </c>
      <c r="B48" s="4" t="s">
        <v>242</v>
      </c>
      <c r="C48" s="4" t="s">
        <v>116</v>
      </c>
      <c r="D48" s="3"/>
    </row>
    <row r="49" s="1" customFormat="1" customHeight="1" spans="1:4">
      <c r="A49" s="3" t="s">
        <v>234</v>
      </c>
      <c r="B49" s="4" t="s">
        <v>242</v>
      </c>
      <c r="C49" s="4" t="s">
        <v>122</v>
      </c>
      <c r="D49" s="3"/>
    </row>
    <row r="50" s="1" customFormat="1" customHeight="1" spans="1:4">
      <c r="A50" s="3" t="s">
        <v>269</v>
      </c>
      <c r="B50" s="4" t="s">
        <v>242</v>
      </c>
      <c r="C50" s="4" t="s">
        <v>122</v>
      </c>
      <c r="D50" s="3" t="s">
        <v>123</v>
      </c>
    </row>
    <row r="51" s="1" customFormat="1" customHeight="1" spans="1:4">
      <c r="A51" s="3" t="s">
        <v>270</v>
      </c>
      <c r="B51" s="4" t="s">
        <v>242</v>
      </c>
      <c r="C51" s="4" t="s">
        <v>105</v>
      </c>
      <c r="D51" s="3" t="s">
        <v>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8" workbookViewId="0">
      <selection activeCell="A25" sqref="A25"/>
    </sheetView>
  </sheetViews>
  <sheetFormatPr defaultColWidth="9" defaultRowHeight="25" customHeight="1" outlineLevelCol="7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28</v>
      </c>
      <c r="B2" s="4" t="s">
        <v>271</v>
      </c>
      <c r="C2" s="4" t="s">
        <v>105</v>
      </c>
      <c r="D2" s="3" t="s">
        <v>30</v>
      </c>
    </row>
    <row r="3" s="1" customFormat="1" customHeight="1" spans="1:4">
      <c r="A3" s="3" t="s">
        <v>52</v>
      </c>
      <c r="B3" s="4" t="s">
        <v>271</v>
      </c>
      <c r="C3" s="4" t="s">
        <v>122</v>
      </c>
      <c r="D3" s="3" t="s">
        <v>53</v>
      </c>
    </row>
    <row r="4" s="1" customFormat="1" customHeight="1" spans="1:7">
      <c r="A4" s="3" t="s">
        <v>76</v>
      </c>
      <c r="B4" s="4" t="s">
        <v>272</v>
      </c>
      <c r="C4" s="4" t="s">
        <v>122</v>
      </c>
      <c r="D4" s="3" t="s">
        <v>77</v>
      </c>
      <c r="G4" s="5" t="s">
        <v>6</v>
      </c>
    </row>
    <row r="5" s="1" customFormat="1" customHeight="1" spans="1:7">
      <c r="A5" s="3" t="s">
        <v>43</v>
      </c>
      <c r="B5" s="4" t="s">
        <v>272</v>
      </c>
      <c r="C5" s="4" t="s">
        <v>113</v>
      </c>
      <c r="D5" s="3" t="s">
        <v>44</v>
      </c>
      <c r="G5" s="5" t="s">
        <v>10</v>
      </c>
    </row>
    <row r="6" s="1" customFormat="1" customHeight="1" spans="1:7">
      <c r="A6" s="3" t="s">
        <v>234</v>
      </c>
      <c r="B6" s="4" t="s">
        <v>273</v>
      </c>
      <c r="C6" s="4" t="s">
        <v>122</v>
      </c>
      <c r="D6" s="3"/>
      <c r="G6" s="5" t="s">
        <v>14</v>
      </c>
    </row>
    <row r="7" s="1" customFormat="1" customHeight="1" spans="1:7">
      <c r="A7" s="3" t="s">
        <v>184</v>
      </c>
      <c r="B7" s="4" t="s">
        <v>273</v>
      </c>
      <c r="C7" s="4" t="s">
        <v>146</v>
      </c>
      <c r="D7" s="3" t="s">
        <v>17</v>
      </c>
      <c r="G7" s="5" t="s">
        <v>179</v>
      </c>
    </row>
    <row r="8" s="1" customFormat="1" customHeight="1" spans="1:7">
      <c r="A8" s="3" t="s">
        <v>274</v>
      </c>
      <c r="B8" s="4" t="s">
        <v>273</v>
      </c>
      <c r="C8" s="4" t="s">
        <v>146</v>
      </c>
      <c r="D8" s="3" t="s">
        <v>17</v>
      </c>
      <c r="G8" s="1" t="s">
        <v>275</v>
      </c>
    </row>
    <row r="9" s="1" customFormat="1" customHeight="1" spans="1:8">
      <c r="A9" s="3" t="s">
        <v>54</v>
      </c>
      <c r="B9" s="4" t="s">
        <v>119</v>
      </c>
      <c r="C9" s="4" t="s">
        <v>122</v>
      </c>
      <c r="D9" s="3" t="s">
        <v>55</v>
      </c>
      <c r="G9" s="1" t="s">
        <v>276</v>
      </c>
      <c r="H9" s="1" t="s">
        <v>277</v>
      </c>
    </row>
    <row r="10" s="1" customFormat="1" customHeight="1" spans="1:7">
      <c r="A10" s="3" t="s">
        <v>74</v>
      </c>
      <c r="B10" s="4" t="s">
        <v>119</v>
      </c>
      <c r="C10" s="4" t="s">
        <v>122</v>
      </c>
      <c r="D10" s="3"/>
      <c r="G10" s="5" t="s">
        <v>27</v>
      </c>
    </row>
    <row r="11" s="1" customFormat="1" customHeight="1" spans="1:8">
      <c r="A11" s="3" t="s">
        <v>15</v>
      </c>
      <c r="B11" s="4" t="s">
        <v>263</v>
      </c>
      <c r="C11" s="4" t="s">
        <v>146</v>
      </c>
      <c r="D11" s="3" t="s">
        <v>17</v>
      </c>
      <c r="G11" s="2" t="s">
        <v>181</v>
      </c>
      <c r="H11" s="2" t="s">
        <v>182</v>
      </c>
    </row>
    <row r="12" s="1" customFormat="1" customHeight="1" spans="1:8">
      <c r="A12" s="3" t="s">
        <v>95</v>
      </c>
      <c r="B12" s="4" t="s">
        <v>263</v>
      </c>
      <c r="C12" s="4" t="s">
        <v>122</v>
      </c>
      <c r="D12" s="3"/>
      <c r="G12" s="7" t="s">
        <v>135</v>
      </c>
      <c r="H12" s="9">
        <v>21.33</v>
      </c>
    </row>
    <row r="13" s="1" customFormat="1" customHeight="1" spans="1:8">
      <c r="A13" s="3" t="s">
        <v>278</v>
      </c>
      <c r="B13" s="4" t="s">
        <v>222</v>
      </c>
      <c r="C13" s="4" t="s">
        <v>146</v>
      </c>
      <c r="D13" s="3" t="s">
        <v>17</v>
      </c>
      <c r="G13" s="7" t="s">
        <v>136</v>
      </c>
      <c r="H13" s="9">
        <v>75.54</v>
      </c>
    </row>
    <row r="14" s="1" customFormat="1" customHeight="1" spans="1:8">
      <c r="A14" s="3" t="s">
        <v>279</v>
      </c>
      <c r="B14" s="4" t="s">
        <v>222</v>
      </c>
      <c r="C14" s="4" t="s">
        <v>146</v>
      </c>
      <c r="D14" s="3" t="s">
        <v>280</v>
      </c>
      <c r="G14" s="7" t="s">
        <v>137</v>
      </c>
      <c r="H14" s="9">
        <v>75.54</v>
      </c>
    </row>
    <row r="15" s="1" customFormat="1" customHeight="1" spans="1:8">
      <c r="A15" s="3" t="s">
        <v>281</v>
      </c>
      <c r="B15" s="4" t="s">
        <v>222</v>
      </c>
      <c r="C15" s="4" t="s">
        <v>105</v>
      </c>
      <c r="D15" s="3" t="s">
        <v>282</v>
      </c>
      <c r="G15" s="7" t="s">
        <v>185</v>
      </c>
      <c r="H15" s="9">
        <v>234.05</v>
      </c>
    </row>
    <row r="16" s="1" customFormat="1" customHeight="1" spans="1:8">
      <c r="A16" s="3" t="s">
        <v>283</v>
      </c>
      <c r="B16" s="4" t="s">
        <v>222</v>
      </c>
      <c r="C16" s="4" t="s">
        <v>122</v>
      </c>
      <c r="D16" s="3" t="s">
        <v>199</v>
      </c>
      <c r="G16" s="7" t="s">
        <v>186</v>
      </c>
      <c r="H16" s="8">
        <v>0.756</v>
      </c>
    </row>
    <row r="17" s="1" customFormat="1" customHeight="1" spans="1:8">
      <c r="A17" s="3" t="s">
        <v>251</v>
      </c>
      <c r="B17" s="4" t="s">
        <v>222</v>
      </c>
      <c r="C17" s="4" t="s">
        <v>116</v>
      </c>
      <c r="D17" s="3" t="s">
        <v>83</v>
      </c>
      <c r="G17" s="7" t="s">
        <v>187</v>
      </c>
      <c r="H17" s="8">
        <v>0.244</v>
      </c>
    </row>
    <row r="18" s="1" customFormat="1" customHeight="1" spans="1:8">
      <c r="A18" s="3" t="s">
        <v>284</v>
      </c>
      <c r="B18" s="4" t="s">
        <v>222</v>
      </c>
      <c r="C18" s="4" t="s">
        <v>146</v>
      </c>
      <c r="D18" s="3" t="s">
        <v>17</v>
      </c>
      <c r="G18" s="7" t="s">
        <v>139</v>
      </c>
      <c r="H18" s="9">
        <v>469.17</v>
      </c>
    </row>
    <row r="19" s="1" customFormat="1" customHeight="1" spans="1:8">
      <c r="A19" s="3" t="s">
        <v>196</v>
      </c>
      <c r="B19" s="4" t="s">
        <v>222</v>
      </c>
      <c r="C19" s="4" t="s">
        <v>116</v>
      </c>
      <c r="D19" s="3"/>
      <c r="G19" s="7" t="s">
        <v>189</v>
      </c>
      <c r="H19" s="9">
        <v>578.43</v>
      </c>
    </row>
    <row r="20" s="1" customFormat="1" customHeight="1" spans="1:4">
      <c r="A20" s="3" t="s">
        <v>285</v>
      </c>
      <c r="B20" s="4" t="s">
        <v>222</v>
      </c>
      <c r="C20" s="4" t="s">
        <v>146</v>
      </c>
      <c r="D20" s="3" t="s">
        <v>17</v>
      </c>
    </row>
    <row r="21" s="1" customFormat="1" customHeight="1" spans="1:4">
      <c r="A21" s="3" t="s">
        <v>86</v>
      </c>
      <c r="B21" s="4" t="s">
        <v>127</v>
      </c>
      <c r="C21" s="4" t="s">
        <v>122</v>
      </c>
      <c r="D21" s="3"/>
    </row>
    <row r="22" s="1" customFormat="1" customHeight="1" spans="1:4">
      <c r="A22" s="3" t="s">
        <v>286</v>
      </c>
      <c r="B22" s="4" t="s">
        <v>127</v>
      </c>
      <c r="C22" s="4" t="s">
        <v>146</v>
      </c>
      <c r="D22" s="3" t="s">
        <v>280</v>
      </c>
    </row>
    <row r="23" s="1" customFormat="1" customHeight="1" spans="1:4">
      <c r="A23" s="3" t="s">
        <v>198</v>
      </c>
      <c r="B23" s="4" t="s">
        <v>127</v>
      </c>
      <c r="C23" s="4" t="s">
        <v>122</v>
      </c>
      <c r="D23" s="3" t="s">
        <v>199</v>
      </c>
    </row>
    <row r="24" s="1" customFormat="1" customHeight="1" spans="1:4">
      <c r="A24" s="3" t="s">
        <v>287</v>
      </c>
      <c r="B24" s="4" t="s">
        <v>127</v>
      </c>
      <c r="C24" s="4" t="s">
        <v>122</v>
      </c>
      <c r="D24" s="3" t="s">
        <v>199</v>
      </c>
    </row>
    <row r="25" s="1" customFormat="1" customHeight="1" spans="1:4">
      <c r="A25" s="3" t="s">
        <v>11</v>
      </c>
      <c r="B25" s="4" t="s">
        <v>127</v>
      </c>
      <c r="C25" s="4" t="s">
        <v>108</v>
      </c>
      <c r="D25" s="3" t="s">
        <v>13</v>
      </c>
    </row>
    <row r="26" s="1" customFormat="1" customHeight="1" spans="1:4">
      <c r="A26" s="3" t="s">
        <v>288</v>
      </c>
      <c r="B26" s="4" t="s">
        <v>127</v>
      </c>
      <c r="C26" s="4" t="s">
        <v>122</v>
      </c>
      <c r="D26" s="3"/>
    </row>
    <row r="27" s="1" customFormat="1" customHeight="1" spans="1:4">
      <c r="A27" s="3" t="s">
        <v>289</v>
      </c>
      <c r="B27" s="4" t="s">
        <v>127</v>
      </c>
      <c r="C27" s="4" t="s">
        <v>108</v>
      </c>
      <c r="D27" s="3" t="s">
        <v>13</v>
      </c>
    </row>
    <row r="28" s="1" customFormat="1" customHeight="1" spans="1:4">
      <c r="A28" s="3" t="s">
        <v>207</v>
      </c>
      <c r="B28" s="4" t="s">
        <v>127</v>
      </c>
      <c r="C28" s="4" t="s">
        <v>208</v>
      </c>
      <c r="D28" s="3" t="s">
        <v>209</v>
      </c>
    </row>
    <row r="29" s="1" customFormat="1" customHeight="1" spans="1:4">
      <c r="A29" s="3" t="s">
        <v>290</v>
      </c>
      <c r="B29" s="4" t="s">
        <v>127</v>
      </c>
      <c r="C29" s="4" t="s">
        <v>122</v>
      </c>
      <c r="D29" s="3" t="s">
        <v>77</v>
      </c>
    </row>
    <row r="30" s="1" customFormat="1" customHeight="1" spans="1:4">
      <c r="A30" s="3" t="s">
        <v>291</v>
      </c>
      <c r="B30" s="4" t="s">
        <v>292</v>
      </c>
      <c r="C30" s="4" t="s">
        <v>122</v>
      </c>
      <c r="D30" s="3"/>
    </row>
    <row r="31" s="1" customFormat="1" customHeight="1" spans="1:4">
      <c r="A31" s="3" t="s">
        <v>75</v>
      </c>
      <c r="B31" s="4" t="s">
        <v>292</v>
      </c>
      <c r="C31" s="4" t="s">
        <v>122</v>
      </c>
      <c r="D31" s="3"/>
    </row>
    <row r="32" s="1" customFormat="1" customHeight="1" spans="1:4">
      <c r="A32" s="3" t="s">
        <v>293</v>
      </c>
      <c r="B32" s="4" t="s">
        <v>292</v>
      </c>
      <c r="C32" s="4" t="s">
        <v>122</v>
      </c>
      <c r="D32" s="3"/>
    </row>
    <row r="33" s="1" customFormat="1" customHeight="1" spans="1:4">
      <c r="A33" s="3" t="s">
        <v>254</v>
      </c>
      <c r="B33" s="4" t="s">
        <v>292</v>
      </c>
      <c r="C33" s="4" t="s">
        <v>122</v>
      </c>
      <c r="D33" s="3" t="s">
        <v>77</v>
      </c>
    </row>
    <row r="34" s="1" customFormat="1" customHeight="1" spans="1:4">
      <c r="A34" s="3" t="s">
        <v>294</v>
      </c>
      <c r="B34" s="4" t="s">
        <v>292</v>
      </c>
      <c r="C34" s="4" t="s">
        <v>122</v>
      </c>
      <c r="D34" s="3" t="s">
        <v>97</v>
      </c>
    </row>
    <row r="35" s="1" customFormat="1" customHeight="1" spans="1:4">
      <c r="A35" s="3" t="s">
        <v>252</v>
      </c>
      <c r="B35" s="4" t="s">
        <v>292</v>
      </c>
      <c r="C35" s="4" t="s">
        <v>122</v>
      </c>
      <c r="D35" s="3" t="s">
        <v>199</v>
      </c>
    </row>
    <row r="36" s="1" customFormat="1" customHeight="1" spans="1:4">
      <c r="A36" s="3" t="s">
        <v>295</v>
      </c>
      <c r="B36" s="4" t="s">
        <v>292</v>
      </c>
      <c r="C36" s="4" t="s">
        <v>208</v>
      </c>
      <c r="D36" s="3" t="s">
        <v>296</v>
      </c>
    </row>
    <row r="37" s="1" customFormat="1" customHeight="1" spans="1:4">
      <c r="A37" s="3" t="s">
        <v>297</v>
      </c>
      <c r="B37" s="4" t="s">
        <v>292</v>
      </c>
      <c r="C37" s="4" t="s">
        <v>105</v>
      </c>
      <c r="D37" s="3" t="s">
        <v>298</v>
      </c>
    </row>
    <row r="38" s="1" customFormat="1" customHeight="1" spans="1:4">
      <c r="A38" s="3" t="s">
        <v>299</v>
      </c>
      <c r="B38" s="4" t="s">
        <v>292</v>
      </c>
      <c r="C38" s="4" t="s">
        <v>116</v>
      </c>
      <c r="D38" s="3"/>
    </row>
    <row r="39" s="1" customFormat="1" customHeight="1" spans="1:4">
      <c r="A39" s="3" t="s">
        <v>56</v>
      </c>
      <c r="B39" s="4" t="s">
        <v>292</v>
      </c>
      <c r="C39" s="4" t="s">
        <v>105</v>
      </c>
      <c r="D39" s="3" t="s">
        <v>57</v>
      </c>
    </row>
    <row r="40" s="1" customFormat="1" customHeight="1" spans="1:4">
      <c r="A40" s="3" t="s">
        <v>300</v>
      </c>
      <c r="B40" s="4" t="s">
        <v>292</v>
      </c>
      <c r="C40" s="4" t="s">
        <v>116</v>
      </c>
      <c r="D40" s="3"/>
    </row>
    <row r="41" s="1" customFormat="1" customHeight="1" spans="1:4">
      <c r="A41" s="3" t="s">
        <v>301</v>
      </c>
      <c r="B41" s="4" t="s">
        <v>292</v>
      </c>
      <c r="C41" s="4" t="s">
        <v>105</v>
      </c>
      <c r="D41" s="3" t="s">
        <v>298</v>
      </c>
    </row>
    <row r="42" s="1" customFormat="1" customHeight="1" spans="1:4">
      <c r="A42" s="3" t="s">
        <v>302</v>
      </c>
      <c r="B42" s="4" t="s">
        <v>292</v>
      </c>
      <c r="C42" s="4" t="s">
        <v>122</v>
      </c>
      <c r="D42" s="3"/>
    </row>
    <row r="43" s="1" customFormat="1" customHeight="1" spans="1:4">
      <c r="A43" s="3" t="s">
        <v>303</v>
      </c>
      <c r="B43" s="4" t="s">
        <v>292</v>
      </c>
      <c r="C43" s="4" t="s">
        <v>122</v>
      </c>
      <c r="D43" s="3"/>
    </row>
    <row r="44" s="1" customFormat="1" customHeight="1" spans="1:4">
      <c r="A44" s="3" t="s">
        <v>89</v>
      </c>
      <c r="B44" s="4" t="s">
        <v>292</v>
      </c>
      <c r="C44" s="4" t="s">
        <v>105</v>
      </c>
      <c r="D44" s="3" t="s">
        <v>90</v>
      </c>
    </row>
    <row r="45" s="1" customFormat="1" customHeight="1" spans="1:4">
      <c r="A45" s="3" t="s">
        <v>304</v>
      </c>
      <c r="B45" s="4" t="s">
        <v>292</v>
      </c>
      <c r="C45" s="4" t="s">
        <v>122</v>
      </c>
      <c r="D45" s="3"/>
    </row>
    <row r="46" s="1" customFormat="1" customHeight="1" spans="1:4">
      <c r="A46" s="3" t="s">
        <v>305</v>
      </c>
      <c r="B46" s="4" t="s">
        <v>292</v>
      </c>
      <c r="C46" s="4" t="s">
        <v>116</v>
      </c>
      <c r="D46" s="3" t="s">
        <v>306</v>
      </c>
    </row>
    <row r="47" s="1" customFormat="1" customHeight="1" spans="1:4">
      <c r="A47" s="3" t="s">
        <v>80</v>
      </c>
      <c r="B47" s="4" t="s">
        <v>292</v>
      </c>
      <c r="C47" s="4" t="s">
        <v>122</v>
      </c>
      <c r="D47" s="3"/>
    </row>
    <row r="48" s="1" customFormat="1" customHeight="1" spans="1:4">
      <c r="A48" s="3" t="s">
        <v>307</v>
      </c>
      <c r="B48" s="4" t="s">
        <v>292</v>
      </c>
      <c r="C48" s="4" t="s">
        <v>146</v>
      </c>
      <c r="D48" s="3" t="s">
        <v>280</v>
      </c>
    </row>
    <row r="49" s="1" customFormat="1" customHeight="1" spans="1:4">
      <c r="A49" s="3" t="s">
        <v>308</v>
      </c>
      <c r="B49" s="4" t="s">
        <v>292</v>
      </c>
      <c r="C49" s="4" t="s">
        <v>208</v>
      </c>
      <c r="D49" s="3" t="s">
        <v>199</v>
      </c>
    </row>
    <row r="50" s="1" customFormat="1" customHeight="1" spans="1:4">
      <c r="A50" s="3" t="s">
        <v>309</v>
      </c>
      <c r="B50" s="4" t="s">
        <v>292</v>
      </c>
      <c r="C50" s="4" t="s">
        <v>208</v>
      </c>
      <c r="D50" s="3"/>
    </row>
    <row r="51" s="1" customFormat="1" customHeight="1" spans="1:4">
      <c r="A51" s="3" t="s">
        <v>237</v>
      </c>
      <c r="B51" s="4" t="s">
        <v>292</v>
      </c>
      <c r="C51" s="4" t="s">
        <v>146</v>
      </c>
      <c r="D51" s="3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A7" sqref="A7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12.7272727272727" style="1"/>
    <col min="9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118</v>
      </c>
      <c r="B2" s="4" t="s">
        <v>310</v>
      </c>
      <c r="C2" s="4" t="s">
        <v>105</v>
      </c>
      <c r="D2" s="3" t="s">
        <v>57</v>
      </c>
    </row>
    <row r="3" s="1" customFormat="1" customHeight="1" spans="1:7">
      <c r="A3" s="3" t="s">
        <v>109</v>
      </c>
      <c r="B3" s="4" t="s">
        <v>311</v>
      </c>
      <c r="C3" s="4" t="s">
        <v>105</v>
      </c>
      <c r="D3" s="3" t="s">
        <v>57</v>
      </c>
      <c r="G3" s="5" t="s">
        <v>6</v>
      </c>
    </row>
    <row r="4" s="1" customFormat="1" ht="28" customHeight="1" spans="1:7">
      <c r="A4" s="3" t="s">
        <v>15</v>
      </c>
      <c r="B4" s="4" t="s">
        <v>312</v>
      </c>
      <c r="C4" s="4" t="s">
        <v>146</v>
      </c>
      <c r="D4" s="3" t="s">
        <v>17</v>
      </c>
      <c r="G4" s="5" t="s">
        <v>120</v>
      </c>
    </row>
    <row r="5" s="1" customFormat="1" ht="28" customHeight="1" spans="1:7">
      <c r="A5" s="3" t="s">
        <v>130</v>
      </c>
      <c r="B5" s="4" t="s">
        <v>313</v>
      </c>
      <c r="C5" s="4" t="s">
        <v>105</v>
      </c>
      <c r="D5" s="3" t="s">
        <v>57</v>
      </c>
      <c r="G5" s="5" t="s">
        <v>14</v>
      </c>
    </row>
    <row r="6" s="1" customFormat="1" customHeight="1" spans="1:7">
      <c r="A6" s="3" t="s">
        <v>124</v>
      </c>
      <c r="B6" s="4" t="s">
        <v>314</v>
      </c>
      <c r="C6" s="4" t="s">
        <v>105</v>
      </c>
      <c r="D6" s="3" t="s">
        <v>57</v>
      </c>
      <c r="G6" s="5" t="s">
        <v>179</v>
      </c>
    </row>
    <row r="7" s="1" customFormat="1" customHeight="1" spans="1:7">
      <c r="A7" s="3" t="s">
        <v>106</v>
      </c>
      <c r="B7" s="4" t="s">
        <v>272</v>
      </c>
      <c r="C7" s="4" t="s">
        <v>108</v>
      </c>
      <c r="D7" s="3" t="s">
        <v>13</v>
      </c>
      <c r="G7" s="1" t="s">
        <v>275</v>
      </c>
    </row>
    <row r="8" s="1" customFormat="1" customHeight="1" spans="1:7">
      <c r="A8" s="3" t="s">
        <v>241</v>
      </c>
      <c r="B8" s="4" t="s">
        <v>315</v>
      </c>
      <c r="C8" s="4" t="s">
        <v>105</v>
      </c>
      <c r="D8" s="3" t="s">
        <v>57</v>
      </c>
      <c r="G8" s="1" t="s">
        <v>276</v>
      </c>
    </row>
    <row r="9" s="1" customFormat="1" customHeight="1" spans="1:7">
      <c r="A9" s="3" t="s">
        <v>43</v>
      </c>
      <c r="B9" s="4" t="s">
        <v>316</v>
      </c>
      <c r="C9" s="4" t="s">
        <v>113</v>
      </c>
      <c r="D9" s="3" t="s">
        <v>44</v>
      </c>
      <c r="G9" s="5" t="s">
        <v>27</v>
      </c>
    </row>
    <row r="10" s="1" customFormat="1" customHeight="1" spans="1:8">
      <c r="A10" s="3" t="s">
        <v>111</v>
      </c>
      <c r="B10" s="4" t="s">
        <v>317</v>
      </c>
      <c r="C10" s="4" t="s">
        <v>113</v>
      </c>
      <c r="D10" s="3" t="s">
        <v>114</v>
      </c>
      <c r="G10" s="2" t="s">
        <v>181</v>
      </c>
      <c r="H10" s="2" t="s">
        <v>182</v>
      </c>
    </row>
    <row r="11" s="1" customFormat="1" customHeight="1" spans="1:8">
      <c r="A11" s="3" t="s">
        <v>295</v>
      </c>
      <c r="B11" s="4" t="s">
        <v>318</v>
      </c>
      <c r="C11" s="4" t="s">
        <v>208</v>
      </c>
      <c r="D11" s="3" t="s">
        <v>306</v>
      </c>
      <c r="G11" s="7" t="s">
        <v>135</v>
      </c>
      <c r="H11" s="9">
        <v>52.13</v>
      </c>
    </row>
    <row r="12" s="1" customFormat="1" ht="28" customHeight="1" spans="1:15">
      <c r="A12" s="3" t="s">
        <v>74</v>
      </c>
      <c r="B12" s="4" t="s">
        <v>318</v>
      </c>
      <c r="C12" s="4" t="s">
        <v>122</v>
      </c>
      <c r="D12" s="3"/>
      <c r="G12" s="7" t="s">
        <v>136</v>
      </c>
      <c r="H12" s="9">
        <v>114.29</v>
      </c>
      <c r="I12" s="7"/>
      <c r="J12" s="7"/>
      <c r="K12" s="7"/>
      <c r="L12" s="11"/>
      <c r="M12" s="11"/>
      <c r="N12" s="7"/>
      <c r="O12" s="7"/>
    </row>
    <row r="13" s="1" customFormat="1" ht="42" customHeight="1" spans="1:15">
      <c r="A13" s="3" t="s">
        <v>115</v>
      </c>
      <c r="B13" s="4" t="s">
        <v>222</v>
      </c>
      <c r="C13" s="4" t="s">
        <v>116</v>
      </c>
      <c r="D13" s="3"/>
      <c r="G13" s="7" t="s">
        <v>137</v>
      </c>
      <c r="H13" s="9">
        <v>114.29</v>
      </c>
      <c r="I13" s="7"/>
      <c r="J13" s="7"/>
      <c r="K13" s="7"/>
      <c r="L13" s="11"/>
      <c r="M13" s="11"/>
      <c r="N13" s="7"/>
      <c r="O13" s="7"/>
    </row>
    <row r="14" s="1" customFormat="1" customHeight="1" spans="1:15">
      <c r="A14" s="3" t="s">
        <v>86</v>
      </c>
      <c r="B14" s="4" t="s">
        <v>180</v>
      </c>
      <c r="C14" s="4" t="s">
        <v>122</v>
      </c>
      <c r="D14" s="3"/>
      <c r="G14" s="7" t="s">
        <v>185</v>
      </c>
      <c r="H14" s="9">
        <v>1018.72</v>
      </c>
      <c r="I14" s="7"/>
      <c r="J14" s="7"/>
      <c r="K14" s="7"/>
      <c r="L14" s="11"/>
      <c r="M14" s="11"/>
      <c r="N14" s="7"/>
      <c r="O14" s="7"/>
    </row>
    <row r="15" s="1" customFormat="1" customHeight="1" spans="1:8">
      <c r="A15" s="3" t="s">
        <v>234</v>
      </c>
      <c r="B15" s="4" t="s">
        <v>180</v>
      </c>
      <c r="C15" s="4" t="s">
        <v>122</v>
      </c>
      <c r="D15" s="3"/>
      <c r="G15" s="7" t="s">
        <v>186</v>
      </c>
      <c r="H15" s="8">
        <v>0.8993</v>
      </c>
    </row>
    <row r="16" s="1" customFormat="1" customHeight="1" spans="1:8">
      <c r="A16" s="3" t="s">
        <v>103</v>
      </c>
      <c r="B16" s="4" t="s">
        <v>180</v>
      </c>
      <c r="C16" s="4" t="s">
        <v>105</v>
      </c>
      <c r="D16" s="3" t="s">
        <v>57</v>
      </c>
      <c r="G16" s="7" t="s">
        <v>187</v>
      </c>
      <c r="H16" s="8">
        <v>0.1007</v>
      </c>
    </row>
    <row r="17" s="1" customFormat="1" customHeight="1" spans="1:8">
      <c r="A17" s="3" t="s">
        <v>76</v>
      </c>
      <c r="B17" s="4" t="s">
        <v>319</v>
      </c>
      <c r="C17" s="4" t="s">
        <v>122</v>
      </c>
      <c r="D17" s="3" t="s">
        <v>170</v>
      </c>
      <c r="G17" s="7" t="s">
        <v>139</v>
      </c>
      <c r="H17" s="9">
        <v>1.48e-6</v>
      </c>
    </row>
    <row r="18" s="1" customFormat="1" customHeight="1" spans="1:8">
      <c r="A18" s="3" t="s">
        <v>284</v>
      </c>
      <c r="B18" s="4" t="s">
        <v>319</v>
      </c>
      <c r="C18" s="4" t="s">
        <v>146</v>
      </c>
      <c r="D18" s="3" t="s">
        <v>17</v>
      </c>
      <c r="G18" s="7" t="s">
        <v>189</v>
      </c>
      <c r="H18" s="9">
        <v>141.23</v>
      </c>
    </row>
    <row r="19" s="1" customFormat="1" customHeight="1" spans="1:4">
      <c r="A19" s="3" t="s">
        <v>54</v>
      </c>
      <c r="B19" s="4" t="s">
        <v>320</v>
      </c>
      <c r="C19" s="4" t="s">
        <v>122</v>
      </c>
      <c r="D19" s="3" t="s">
        <v>55</v>
      </c>
    </row>
    <row r="20" s="1" customFormat="1" customHeight="1" spans="1:4">
      <c r="A20" s="3" t="s">
        <v>156</v>
      </c>
      <c r="B20" s="4" t="s">
        <v>320</v>
      </c>
      <c r="C20" s="4" t="s">
        <v>116</v>
      </c>
      <c r="D20" s="3" t="s">
        <v>55</v>
      </c>
    </row>
    <row r="21" s="1" customFormat="1" customHeight="1" spans="1:4">
      <c r="A21" s="3" t="s">
        <v>278</v>
      </c>
      <c r="B21" s="4" t="s">
        <v>321</v>
      </c>
      <c r="C21" s="4" t="s">
        <v>146</v>
      </c>
      <c r="D21" s="3" t="s">
        <v>17</v>
      </c>
    </row>
    <row r="22" s="1" customFormat="1" customHeight="1" spans="1:4">
      <c r="A22" s="3" t="s">
        <v>322</v>
      </c>
      <c r="B22" s="4" t="s">
        <v>321</v>
      </c>
      <c r="C22" s="4" t="s">
        <v>146</v>
      </c>
      <c r="D22" s="3" t="s">
        <v>17</v>
      </c>
    </row>
    <row r="23" s="1" customFormat="1" customHeight="1" spans="1:8">
      <c r="A23" s="3" t="s">
        <v>98</v>
      </c>
      <c r="B23" s="4" t="s">
        <v>321</v>
      </c>
      <c r="C23" s="4" t="s">
        <v>122</v>
      </c>
      <c r="D23" s="3"/>
      <c r="G23" s="7"/>
      <c r="H23"/>
    </row>
    <row r="24" s="1" customFormat="1" customHeight="1" spans="1:8">
      <c r="A24" s="3" t="s">
        <v>254</v>
      </c>
      <c r="B24" s="4" t="s">
        <v>323</v>
      </c>
      <c r="C24" s="4" t="s">
        <v>122</v>
      </c>
      <c r="D24" s="3" t="s">
        <v>170</v>
      </c>
      <c r="G24" s="7"/>
      <c r="H24" s="7"/>
    </row>
    <row r="25" s="1" customFormat="1" customHeight="1" spans="1:8">
      <c r="A25" s="3" t="s">
        <v>287</v>
      </c>
      <c r="B25" s="4" t="s">
        <v>61</v>
      </c>
      <c r="C25" s="4" t="s">
        <v>122</v>
      </c>
      <c r="D25" s="3"/>
      <c r="G25" s="7"/>
      <c r="H25" s="7"/>
    </row>
    <row r="26" s="1" customFormat="1" customHeight="1" spans="1:4">
      <c r="A26" s="3" t="s">
        <v>324</v>
      </c>
      <c r="B26" s="4" t="s">
        <v>61</v>
      </c>
      <c r="C26" s="4" t="s">
        <v>146</v>
      </c>
      <c r="D26" s="3" t="s">
        <v>17</v>
      </c>
    </row>
    <row r="27" s="1" customFormat="1" customHeight="1" spans="1:4">
      <c r="A27" s="3" t="s">
        <v>184</v>
      </c>
      <c r="B27" s="4" t="s">
        <v>61</v>
      </c>
      <c r="C27" s="4" t="s">
        <v>146</v>
      </c>
      <c r="D27" s="3" t="s">
        <v>17</v>
      </c>
    </row>
    <row r="28" s="1" customFormat="1" customHeight="1" spans="1:4">
      <c r="A28" s="3" t="s">
        <v>325</v>
      </c>
      <c r="B28" s="4" t="s">
        <v>61</v>
      </c>
      <c r="C28" s="4" t="s">
        <v>116</v>
      </c>
      <c r="D28" s="3"/>
    </row>
    <row r="29" s="1" customFormat="1" customHeight="1" spans="1:4">
      <c r="A29" s="3" t="s">
        <v>207</v>
      </c>
      <c r="B29" s="4" t="s">
        <v>148</v>
      </c>
      <c r="C29" s="4" t="s">
        <v>208</v>
      </c>
      <c r="D29" s="3" t="s">
        <v>306</v>
      </c>
    </row>
    <row r="30" s="1" customFormat="1" customHeight="1" spans="1:4">
      <c r="A30" s="3" t="s">
        <v>203</v>
      </c>
      <c r="B30" s="4" t="s">
        <v>148</v>
      </c>
      <c r="C30" s="4" t="s">
        <v>122</v>
      </c>
      <c r="D30" s="3" t="s">
        <v>326</v>
      </c>
    </row>
    <row r="31" s="1" customFormat="1" customHeight="1" spans="1:4">
      <c r="A31" s="3" t="s">
        <v>327</v>
      </c>
      <c r="B31" s="4" t="s">
        <v>148</v>
      </c>
      <c r="C31" s="4" t="s">
        <v>122</v>
      </c>
      <c r="D31" s="3"/>
    </row>
    <row r="32" s="1" customFormat="1" customHeight="1" spans="1:4">
      <c r="A32" s="3" t="s">
        <v>328</v>
      </c>
      <c r="B32" s="4" t="s">
        <v>148</v>
      </c>
      <c r="C32" s="4" t="s">
        <v>146</v>
      </c>
      <c r="D32" s="3" t="s">
        <v>17</v>
      </c>
    </row>
    <row r="33" s="1" customFormat="1" customHeight="1" spans="1:4">
      <c r="A33" s="3" t="s">
        <v>266</v>
      </c>
      <c r="B33" s="4" t="s">
        <v>148</v>
      </c>
      <c r="C33" s="4" t="s">
        <v>108</v>
      </c>
      <c r="D33" s="3" t="s">
        <v>329</v>
      </c>
    </row>
    <row r="34" s="1" customFormat="1" customHeight="1" spans="1:4">
      <c r="A34" s="3" t="s">
        <v>94</v>
      </c>
      <c r="B34" s="4" t="s">
        <v>148</v>
      </c>
      <c r="C34" s="4" t="s">
        <v>116</v>
      </c>
      <c r="D34" s="3"/>
    </row>
    <row r="35" s="1" customFormat="1" customHeight="1" spans="1:4">
      <c r="A35" s="3" t="s">
        <v>231</v>
      </c>
      <c r="B35" s="4" t="s">
        <v>330</v>
      </c>
      <c r="C35" s="4" t="s">
        <v>108</v>
      </c>
      <c r="D35" s="3" t="s">
        <v>232</v>
      </c>
    </row>
    <row r="36" s="1" customFormat="1" customHeight="1" spans="1:4">
      <c r="A36" s="3" t="s">
        <v>331</v>
      </c>
      <c r="B36" s="4" t="s">
        <v>330</v>
      </c>
      <c r="C36" s="4" t="s">
        <v>146</v>
      </c>
      <c r="D36" s="3" t="s">
        <v>17</v>
      </c>
    </row>
    <row r="37" s="1" customFormat="1" customHeight="1" spans="1:4">
      <c r="A37" s="3" t="s">
        <v>126</v>
      </c>
      <c r="B37" s="4" t="s">
        <v>330</v>
      </c>
      <c r="C37" s="4" t="s">
        <v>113</v>
      </c>
      <c r="D37" s="3" t="s">
        <v>114</v>
      </c>
    </row>
    <row r="38" s="1" customFormat="1" customHeight="1" spans="1:4">
      <c r="A38" s="3" t="s">
        <v>332</v>
      </c>
      <c r="B38" s="4" t="s">
        <v>330</v>
      </c>
      <c r="C38" s="4" t="s">
        <v>122</v>
      </c>
      <c r="D38" s="3"/>
    </row>
    <row r="39" s="1" customFormat="1" customHeight="1" spans="1:4">
      <c r="A39" s="3" t="s">
        <v>333</v>
      </c>
      <c r="B39" s="4" t="s">
        <v>330</v>
      </c>
      <c r="C39" s="4" t="s">
        <v>116</v>
      </c>
      <c r="D39" s="3" t="s">
        <v>326</v>
      </c>
    </row>
    <row r="40" s="1" customFormat="1" customHeight="1" spans="1:4">
      <c r="A40" s="3" t="s">
        <v>334</v>
      </c>
      <c r="B40" s="4" t="s">
        <v>330</v>
      </c>
      <c r="C40" s="4" t="s">
        <v>146</v>
      </c>
      <c r="D40" s="3" t="s">
        <v>17</v>
      </c>
    </row>
    <row r="41" s="1" customFormat="1" customHeight="1" spans="1:4">
      <c r="A41" s="3" t="s">
        <v>95</v>
      </c>
      <c r="B41" s="4" t="s">
        <v>330</v>
      </c>
      <c r="C41" s="4" t="s">
        <v>122</v>
      </c>
      <c r="D41" s="3"/>
    </row>
    <row r="42" s="1" customFormat="1" customHeight="1" spans="1:4">
      <c r="A42" s="3" t="s">
        <v>270</v>
      </c>
      <c r="B42" s="4" t="s">
        <v>330</v>
      </c>
      <c r="C42" s="4" t="s">
        <v>105</v>
      </c>
      <c r="D42" s="3" t="s">
        <v>57</v>
      </c>
    </row>
    <row r="43" s="1" customFormat="1" customHeight="1" spans="1:4">
      <c r="A43" s="3" t="s">
        <v>335</v>
      </c>
      <c r="B43" s="4" t="s">
        <v>336</v>
      </c>
      <c r="C43" s="4" t="s">
        <v>116</v>
      </c>
      <c r="D43" s="3" t="s">
        <v>306</v>
      </c>
    </row>
    <row r="44" s="1" customFormat="1" customHeight="1" spans="1:4">
      <c r="A44" s="3" t="s">
        <v>155</v>
      </c>
      <c r="B44" s="4" t="s">
        <v>336</v>
      </c>
      <c r="C44" s="4" t="s">
        <v>105</v>
      </c>
      <c r="D44" s="3" t="s">
        <v>57</v>
      </c>
    </row>
    <row r="45" s="1" customFormat="1" customHeight="1" spans="1:4">
      <c r="A45" s="3" t="s">
        <v>337</v>
      </c>
      <c r="B45" s="4" t="s">
        <v>336</v>
      </c>
      <c r="C45" s="4" t="s">
        <v>146</v>
      </c>
      <c r="D45" s="3" t="s">
        <v>17</v>
      </c>
    </row>
    <row r="46" s="1" customFormat="1" customHeight="1" spans="1:4">
      <c r="A46" s="3" t="s">
        <v>338</v>
      </c>
      <c r="B46" s="4" t="s">
        <v>336</v>
      </c>
      <c r="C46" s="4" t="s">
        <v>146</v>
      </c>
      <c r="D46" s="3" t="s">
        <v>17</v>
      </c>
    </row>
    <row r="47" s="1" customFormat="1" customHeight="1" spans="1:4">
      <c r="A47" s="3" t="s">
        <v>339</v>
      </c>
      <c r="B47" s="4" t="s">
        <v>336</v>
      </c>
      <c r="C47" s="4" t="s">
        <v>108</v>
      </c>
      <c r="D47" s="3" t="s">
        <v>232</v>
      </c>
    </row>
    <row r="48" s="1" customFormat="1" customHeight="1" spans="1:4">
      <c r="A48" s="3" t="s">
        <v>285</v>
      </c>
      <c r="B48" s="4" t="s">
        <v>336</v>
      </c>
      <c r="C48" s="4" t="s">
        <v>146</v>
      </c>
      <c r="D48" s="3" t="s">
        <v>17</v>
      </c>
    </row>
    <row r="49" s="1" customFormat="1" customHeight="1" spans="1:4">
      <c r="A49" s="3" t="s">
        <v>340</v>
      </c>
      <c r="B49" s="4" t="s">
        <v>336</v>
      </c>
      <c r="C49" s="4" t="s">
        <v>122</v>
      </c>
      <c r="D49" s="3"/>
    </row>
    <row r="50" s="1" customFormat="1" customHeight="1" spans="1:4">
      <c r="A50" s="3" t="s">
        <v>341</v>
      </c>
      <c r="B50" s="4" t="s">
        <v>336</v>
      </c>
      <c r="C50" s="4" t="s">
        <v>116</v>
      </c>
      <c r="D50" s="3"/>
    </row>
    <row r="51" s="1" customFormat="1" customHeight="1" spans="1:4">
      <c r="A51" s="3" t="s">
        <v>342</v>
      </c>
      <c r="B51" s="4" t="s">
        <v>336</v>
      </c>
      <c r="C51" s="4" t="s">
        <v>122</v>
      </c>
      <c r="D51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21" workbookViewId="0">
      <selection activeCell="D14" sqref="D14"/>
    </sheetView>
  </sheetViews>
  <sheetFormatPr defaultColWidth="9" defaultRowHeight="25" customHeight="1" outlineLevelCol="7"/>
  <cols>
    <col min="1" max="1" width="38.6363636363636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9.18181818181818" style="1"/>
    <col min="9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28</v>
      </c>
      <c r="B2" s="4" t="s">
        <v>343</v>
      </c>
      <c r="C2" s="4" t="s">
        <v>105</v>
      </c>
      <c r="D2" s="3" t="s">
        <v>30</v>
      </c>
    </row>
    <row r="3" s="1" customFormat="1" customHeight="1" spans="1:4">
      <c r="A3" s="3" t="s">
        <v>43</v>
      </c>
      <c r="B3" s="4" t="s">
        <v>344</v>
      </c>
      <c r="C3" s="4" t="s">
        <v>113</v>
      </c>
      <c r="D3" s="3" t="s">
        <v>44</v>
      </c>
    </row>
    <row r="4" s="1" customFormat="1" ht="28" customHeight="1" spans="1:7">
      <c r="A4" s="3" t="s">
        <v>254</v>
      </c>
      <c r="B4" s="4" t="s">
        <v>345</v>
      </c>
      <c r="C4" s="4" t="s">
        <v>122</v>
      </c>
      <c r="D4" s="3" t="s">
        <v>77</v>
      </c>
      <c r="G4" s="5" t="s">
        <v>6</v>
      </c>
    </row>
    <row r="5" s="1" customFormat="1" customHeight="1" spans="1:7">
      <c r="A5" s="3" t="s">
        <v>76</v>
      </c>
      <c r="B5" s="4" t="s">
        <v>345</v>
      </c>
      <c r="C5" s="4" t="s">
        <v>122</v>
      </c>
      <c r="D5" s="3" t="s">
        <v>77</v>
      </c>
      <c r="G5" s="5" t="s">
        <v>10</v>
      </c>
    </row>
    <row r="6" s="1" customFormat="1" customHeight="1" spans="1:7">
      <c r="A6" s="3" t="s">
        <v>95</v>
      </c>
      <c r="B6" s="4" t="s">
        <v>345</v>
      </c>
      <c r="C6" s="4" t="s">
        <v>122</v>
      </c>
      <c r="D6" s="3" t="s">
        <v>117</v>
      </c>
      <c r="G6" s="5" t="s">
        <v>14</v>
      </c>
    </row>
    <row r="7" s="1" customFormat="1" customHeight="1" spans="1:7">
      <c r="A7" s="3" t="s">
        <v>86</v>
      </c>
      <c r="B7" s="4" t="s">
        <v>346</v>
      </c>
      <c r="C7" s="4" t="s">
        <v>122</v>
      </c>
      <c r="D7" s="3" t="s">
        <v>117</v>
      </c>
      <c r="G7" s="5" t="s">
        <v>248</v>
      </c>
    </row>
    <row r="8" s="1" customFormat="1" customHeight="1" spans="1:7">
      <c r="A8" s="3" t="s">
        <v>301</v>
      </c>
      <c r="B8" s="4" t="s">
        <v>346</v>
      </c>
      <c r="C8" s="4" t="s">
        <v>105</v>
      </c>
      <c r="D8" s="3" t="s">
        <v>298</v>
      </c>
      <c r="G8" s="1" t="s">
        <v>275</v>
      </c>
    </row>
    <row r="9" s="1" customFormat="1" customHeight="1" spans="1:8">
      <c r="A9" s="3" t="s">
        <v>285</v>
      </c>
      <c r="B9" s="4" t="s">
        <v>347</v>
      </c>
      <c r="C9" s="4" t="s">
        <v>146</v>
      </c>
      <c r="D9" s="3" t="s">
        <v>17</v>
      </c>
      <c r="G9" s="1" t="s">
        <v>276</v>
      </c>
      <c r="H9" s="1" t="s">
        <v>277</v>
      </c>
    </row>
    <row r="10" s="1" customFormat="1" customHeight="1" spans="1:7">
      <c r="A10" s="3" t="s">
        <v>184</v>
      </c>
      <c r="B10" s="4" t="s">
        <v>347</v>
      </c>
      <c r="C10" s="4" t="s">
        <v>146</v>
      </c>
      <c r="D10" s="3" t="s">
        <v>17</v>
      </c>
      <c r="G10" s="5" t="s">
        <v>27</v>
      </c>
    </row>
    <row r="11" s="1" customFormat="1" customHeight="1" spans="1:8">
      <c r="A11" s="3" t="s">
        <v>322</v>
      </c>
      <c r="B11" s="4" t="s">
        <v>29</v>
      </c>
      <c r="C11" s="4" t="s">
        <v>146</v>
      </c>
      <c r="D11" s="3" t="s">
        <v>17</v>
      </c>
      <c r="G11" s="2" t="s">
        <v>181</v>
      </c>
      <c r="H11" s="2" t="s">
        <v>182</v>
      </c>
    </row>
    <row r="12" s="1" customFormat="1" ht="28" customHeight="1" spans="1:8">
      <c r="A12" s="3" t="s">
        <v>283</v>
      </c>
      <c r="B12" s="4" t="s">
        <v>29</v>
      </c>
      <c r="C12" s="4" t="s">
        <v>122</v>
      </c>
      <c r="D12" s="3" t="s">
        <v>199</v>
      </c>
      <c r="G12" s="7" t="s">
        <v>135</v>
      </c>
      <c r="H12" s="9">
        <v>20.44</v>
      </c>
    </row>
    <row r="13" s="1" customFormat="1" customHeight="1" spans="1:8">
      <c r="A13" s="3" t="s">
        <v>290</v>
      </c>
      <c r="B13" s="4" t="s">
        <v>29</v>
      </c>
      <c r="C13" s="4" t="s">
        <v>122</v>
      </c>
      <c r="D13" s="3" t="s">
        <v>77</v>
      </c>
      <c r="G13" s="7" t="s">
        <v>136</v>
      </c>
      <c r="H13" s="12">
        <v>74.2</v>
      </c>
    </row>
    <row r="14" s="1" customFormat="1" customHeight="1" spans="1:8">
      <c r="A14" s="3" t="s">
        <v>15</v>
      </c>
      <c r="B14" s="4" t="s">
        <v>29</v>
      </c>
      <c r="C14" s="4" t="s">
        <v>146</v>
      </c>
      <c r="D14" s="3" t="s">
        <v>17</v>
      </c>
      <c r="G14" s="7" t="s">
        <v>137</v>
      </c>
      <c r="H14" s="9">
        <v>74.2</v>
      </c>
    </row>
    <row r="15" s="1" customFormat="1" customHeight="1" spans="1:8">
      <c r="A15" s="3" t="s">
        <v>89</v>
      </c>
      <c r="B15" s="4" t="s">
        <v>29</v>
      </c>
      <c r="C15" s="4" t="s">
        <v>105</v>
      </c>
      <c r="D15" s="3" t="s">
        <v>90</v>
      </c>
      <c r="G15" s="7" t="s">
        <v>185</v>
      </c>
      <c r="H15" s="9">
        <v>235.898</v>
      </c>
    </row>
    <row r="16" s="1" customFormat="1" customHeight="1" spans="1:8">
      <c r="A16" s="3" t="s">
        <v>98</v>
      </c>
      <c r="B16" s="4" t="s">
        <v>127</v>
      </c>
      <c r="C16" s="4" t="s">
        <v>122</v>
      </c>
      <c r="D16" s="3" t="s">
        <v>117</v>
      </c>
      <c r="G16" s="7" t="s">
        <v>186</v>
      </c>
      <c r="H16" s="8">
        <v>0.7607</v>
      </c>
    </row>
    <row r="17" s="1" customFormat="1" customHeight="1" spans="1:8">
      <c r="A17" s="3" t="s">
        <v>52</v>
      </c>
      <c r="B17" s="4" t="s">
        <v>127</v>
      </c>
      <c r="C17" s="4" t="s">
        <v>122</v>
      </c>
      <c r="D17" s="3" t="s">
        <v>53</v>
      </c>
      <c r="G17" s="7" t="s">
        <v>187</v>
      </c>
      <c r="H17" s="8">
        <v>0.2393</v>
      </c>
    </row>
    <row r="18" s="1" customFormat="1" customHeight="1" spans="1:8">
      <c r="A18" s="3" t="s">
        <v>198</v>
      </c>
      <c r="B18" s="4" t="s">
        <v>127</v>
      </c>
      <c r="C18" s="4" t="s">
        <v>122</v>
      </c>
      <c r="D18" s="3" t="s">
        <v>199</v>
      </c>
      <c r="G18" s="7" t="s">
        <v>139</v>
      </c>
      <c r="H18" s="9">
        <v>489.24</v>
      </c>
    </row>
    <row r="19" s="1" customFormat="1" customHeight="1" spans="1:8">
      <c r="A19" s="3" t="s">
        <v>348</v>
      </c>
      <c r="B19" s="4" t="s">
        <v>127</v>
      </c>
      <c r="C19" s="4" t="s">
        <v>208</v>
      </c>
      <c r="D19" s="3" t="s">
        <v>296</v>
      </c>
      <c r="G19" s="7" t="s">
        <v>189</v>
      </c>
      <c r="H19" s="9">
        <v>582.1</v>
      </c>
    </row>
    <row r="20" s="1" customFormat="1" customHeight="1" spans="1:4">
      <c r="A20" s="3" t="s">
        <v>54</v>
      </c>
      <c r="B20" s="4" t="s">
        <v>127</v>
      </c>
      <c r="C20" s="4" t="s">
        <v>122</v>
      </c>
      <c r="D20" s="3" t="s">
        <v>55</v>
      </c>
    </row>
    <row r="21" s="1" customFormat="1" customHeight="1" spans="1:4">
      <c r="A21" s="3" t="s">
        <v>349</v>
      </c>
      <c r="B21" s="4" t="s">
        <v>127</v>
      </c>
      <c r="C21" s="4" t="s">
        <v>122</v>
      </c>
      <c r="D21" s="3" t="s">
        <v>117</v>
      </c>
    </row>
    <row r="22" s="1" customFormat="1" customHeight="1" spans="1:4">
      <c r="A22" s="3" t="s">
        <v>350</v>
      </c>
      <c r="B22" s="4" t="s">
        <v>127</v>
      </c>
      <c r="C22" s="4" t="s">
        <v>116</v>
      </c>
      <c r="D22" s="3" t="s">
        <v>117</v>
      </c>
    </row>
    <row r="23" s="1" customFormat="1" customHeight="1" spans="1:4">
      <c r="A23" s="3" t="s">
        <v>234</v>
      </c>
      <c r="B23" s="4" t="s">
        <v>127</v>
      </c>
      <c r="C23" s="4" t="s">
        <v>122</v>
      </c>
      <c r="D23" s="3" t="s">
        <v>117</v>
      </c>
    </row>
    <row r="24" s="1" customFormat="1" customHeight="1" spans="1:8">
      <c r="A24" s="3" t="s">
        <v>144</v>
      </c>
      <c r="B24" s="4" t="s">
        <v>127</v>
      </c>
      <c r="C24" s="4" t="s">
        <v>146</v>
      </c>
      <c r="D24" s="3" t="s">
        <v>17</v>
      </c>
      <c r="G24" s="7"/>
      <c r="H24"/>
    </row>
    <row r="25" s="1" customFormat="1" customHeight="1" spans="1:8">
      <c r="A25" s="3" t="s">
        <v>274</v>
      </c>
      <c r="B25" s="4" t="s">
        <v>127</v>
      </c>
      <c r="C25" s="4" t="s">
        <v>146</v>
      </c>
      <c r="D25" s="3" t="s">
        <v>17</v>
      </c>
      <c r="G25" s="7"/>
      <c r="H25" s="7"/>
    </row>
    <row r="26" s="1" customFormat="1" customHeight="1" spans="1:4">
      <c r="A26" s="3" t="s">
        <v>74</v>
      </c>
      <c r="B26" s="4" t="s">
        <v>127</v>
      </c>
      <c r="C26" s="4" t="s">
        <v>122</v>
      </c>
      <c r="D26" s="3" t="s">
        <v>117</v>
      </c>
    </row>
    <row r="27" s="1" customFormat="1" customHeight="1" spans="1:4">
      <c r="A27" s="3" t="s">
        <v>351</v>
      </c>
      <c r="B27" s="4" t="s">
        <v>292</v>
      </c>
      <c r="C27" s="4" t="s">
        <v>352</v>
      </c>
      <c r="D27" s="3" t="s">
        <v>353</v>
      </c>
    </row>
    <row r="28" s="1" customFormat="1" customHeight="1" spans="1:4">
      <c r="A28" s="3" t="s">
        <v>354</v>
      </c>
      <c r="B28" s="4" t="s">
        <v>292</v>
      </c>
      <c r="C28" s="4" t="s">
        <v>122</v>
      </c>
      <c r="D28" s="3" t="s">
        <v>117</v>
      </c>
    </row>
    <row r="29" s="1" customFormat="1" customHeight="1" spans="1:4">
      <c r="A29" s="3" t="s">
        <v>307</v>
      </c>
      <c r="B29" s="4" t="s">
        <v>292</v>
      </c>
      <c r="C29" s="4" t="s">
        <v>146</v>
      </c>
      <c r="D29" s="3" t="s">
        <v>280</v>
      </c>
    </row>
    <row r="30" s="1" customFormat="1" customHeight="1" spans="1:4">
      <c r="A30" s="3" t="s">
        <v>355</v>
      </c>
      <c r="B30" s="4" t="s">
        <v>292</v>
      </c>
      <c r="C30" s="4" t="s">
        <v>122</v>
      </c>
      <c r="D30" s="3" t="s">
        <v>117</v>
      </c>
    </row>
    <row r="31" s="1" customFormat="1" customHeight="1" spans="1:4">
      <c r="A31" s="3" t="s">
        <v>356</v>
      </c>
      <c r="B31" s="4" t="s">
        <v>292</v>
      </c>
      <c r="C31" s="4" t="s">
        <v>146</v>
      </c>
      <c r="D31" s="3" t="s">
        <v>17</v>
      </c>
    </row>
    <row r="32" s="1" customFormat="1" customHeight="1" spans="1:4">
      <c r="A32" s="3" t="s">
        <v>357</v>
      </c>
      <c r="B32" s="4" t="s">
        <v>292</v>
      </c>
      <c r="C32" s="4" t="s">
        <v>122</v>
      </c>
      <c r="D32" s="3" t="s">
        <v>358</v>
      </c>
    </row>
    <row r="33" s="1" customFormat="1" customHeight="1" spans="1:4">
      <c r="A33" s="3" t="s">
        <v>359</v>
      </c>
      <c r="B33" s="4" t="s">
        <v>292</v>
      </c>
      <c r="C33" s="4" t="s">
        <v>122</v>
      </c>
      <c r="D33" s="3" t="s">
        <v>360</v>
      </c>
    </row>
    <row r="34" s="1" customFormat="1" customHeight="1" spans="1:4">
      <c r="A34" s="3" t="s">
        <v>361</v>
      </c>
      <c r="B34" s="4" t="s">
        <v>292</v>
      </c>
      <c r="C34" s="4" t="s">
        <v>122</v>
      </c>
      <c r="D34" s="3" t="s">
        <v>117</v>
      </c>
    </row>
    <row r="35" s="1" customFormat="1" customHeight="1" spans="1:4">
      <c r="A35" s="3" t="s">
        <v>284</v>
      </c>
      <c r="B35" s="4" t="s">
        <v>292</v>
      </c>
      <c r="C35" s="4" t="s">
        <v>146</v>
      </c>
      <c r="D35" s="3" t="s">
        <v>17</v>
      </c>
    </row>
    <row r="36" s="1" customFormat="1" customHeight="1" spans="1:4">
      <c r="A36" s="3" t="s">
        <v>94</v>
      </c>
      <c r="B36" s="4" t="s">
        <v>292</v>
      </c>
      <c r="C36" s="4" t="s">
        <v>116</v>
      </c>
      <c r="D36" s="3" t="s">
        <v>117</v>
      </c>
    </row>
    <row r="37" s="1" customFormat="1" customHeight="1" spans="1:4">
      <c r="A37" s="3" t="s">
        <v>207</v>
      </c>
      <c r="B37" s="4" t="s">
        <v>292</v>
      </c>
      <c r="C37" s="4" t="s">
        <v>208</v>
      </c>
      <c r="D37" s="3" t="s">
        <v>209</v>
      </c>
    </row>
    <row r="38" s="1" customFormat="1" customHeight="1" spans="1:4">
      <c r="A38" s="3" t="s">
        <v>7</v>
      </c>
      <c r="B38" s="4" t="s">
        <v>292</v>
      </c>
      <c r="C38" s="4" t="s">
        <v>105</v>
      </c>
      <c r="D38" s="3" t="s">
        <v>9</v>
      </c>
    </row>
    <row r="39" s="1" customFormat="1" customHeight="1" spans="1:4">
      <c r="A39" s="3" t="s">
        <v>237</v>
      </c>
      <c r="B39" s="4" t="s">
        <v>292</v>
      </c>
      <c r="C39" s="4" t="s">
        <v>146</v>
      </c>
      <c r="D39" s="3" t="s">
        <v>17</v>
      </c>
    </row>
    <row r="40" s="1" customFormat="1" customHeight="1" spans="1:4">
      <c r="A40" s="3" t="s">
        <v>200</v>
      </c>
      <c r="B40" s="4" t="s">
        <v>292</v>
      </c>
      <c r="C40" s="4" t="s">
        <v>116</v>
      </c>
      <c r="D40" s="3" t="s">
        <v>117</v>
      </c>
    </row>
    <row r="41" s="1" customFormat="1" customHeight="1" spans="1:4">
      <c r="A41" s="3" t="s">
        <v>362</v>
      </c>
      <c r="B41" s="4" t="s">
        <v>292</v>
      </c>
      <c r="C41" s="4" t="s">
        <v>122</v>
      </c>
      <c r="D41" s="3" t="s">
        <v>117</v>
      </c>
    </row>
    <row r="42" s="1" customFormat="1" customHeight="1" spans="1:4">
      <c r="A42" s="3" t="s">
        <v>363</v>
      </c>
      <c r="B42" s="4" t="s">
        <v>292</v>
      </c>
      <c r="C42" s="4" t="s">
        <v>105</v>
      </c>
      <c r="D42" s="3" t="s">
        <v>57</v>
      </c>
    </row>
    <row r="43" s="1" customFormat="1" customHeight="1" spans="1:4">
      <c r="A43" s="3" t="s">
        <v>203</v>
      </c>
      <c r="B43" s="4" t="s">
        <v>292</v>
      </c>
      <c r="C43" s="4" t="s">
        <v>122</v>
      </c>
      <c r="D43" s="3" t="s">
        <v>83</v>
      </c>
    </row>
    <row r="44" s="1" customFormat="1" customHeight="1" spans="1:4">
      <c r="A44" s="3" t="s">
        <v>340</v>
      </c>
      <c r="B44" s="4" t="s">
        <v>292</v>
      </c>
      <c r="C44" s="4" t="s">
        <v>122</v>
      </c>
      <c r="D44" s="3" t="s">
        <v>117</v>
      </c>
    </row>
    <row r="45" s="1" customFormat="1" customHeight="1" spans="1:4">
      <c r="A45" s="3" t="s">
        <v>196</v>
      </c>
      <c r="B45" s="4" t="s">
        <v>292</v>
      </c>
      <c r="C45" s="4" t="s">
        <v>116</v>
      </c>
      <c r="D45" s="3" t="s">
        <v>117</v>
      </c>
    </row>
    <row r="46" s="1" customFormat="1" customHeight="1" spans="1:4">
      <c r="A46" s="3" t="s">
        <v>291</v>
      </c>
      <c r="B46" s="4" t="s">
        <v>292</v>
      </c>
      <c r="C46" s="4" t="s">
        <v>122</v>
      </c>
      <c r="D46" s="3" t="s">
        <v>117</v>
      </c>
    </row>
    <row r="47" s="1" customFormat="1" customHeight="1" spans="1:4">
      <c r="A47" s="3" t="s">
        <v>364</v>
      </c>
      <c r="B47" s="4" t="s">
        <v>292</v>
      </c>
      <c r="C47" s="4" t="s">
        <v>122</v>
      </c>
      <c r="D47" s="3" t="s">
        <v>358</v>
      </c>
    </row>
    <row r="48" s="1" customFormat="1" customHeight="1" spans="1:4">
      <c r="A48" s="3" t="s">
        <v>288</v>
      </c>
      <c r="B48" s="4" t="s">
        <v>292</v>
      </c>
      <c r="C48" s="4" t="s">
        <v>122</v>
      </c>
      <c r="D48" s="3" t="s">
        <v>117</v>
      </c>
    </row>
    <row r="49" s="1" customFormat="1" customHeight="1" spans="1:4">
      <c r="A49" s="3" t="s">
        <v>365</v>
      </c>
      <c r="B49" s="4" t="s">
        <v>292</v>
      </c>
      <c r="C49" s="4" t="s">
        <v>122</v>
      </c>
      <c r="D49" s="3" t="s">
        <v>117</v>
      </c>
    </row>
    <row r="50" s="1" customFormat="1" customHeight="1" spans="1:4">
      <c r="A50" s="3" t="s">
        <v>213</v>
      </c>
      <c r="B50" s="4" t="s">
        <v>292</v>
      </c>
      <c r="C50" s="4" t="s">
        <v>122</v>
      </c>
      <c r="D50" s="3" t="s">
        <v>117</v>
      </c>
    </row>
    <row r="51" s="1" customFormat="1" customHeight="1" spans="1:4">
      <c r="A51" s="3" t="s">
        <v>366</v>
      </c>
      <c r="B51" s="4" t="s">
        <v>292</v>
      </c>
      <c r="C51" s="4" t="s">
        <v>352</v>
      </c>
      <c r="D51" s="3" t="s">
        <v>353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opLeftCell="A7" workbookViewId="0">
      <selection activeCell="A8" sqref="A8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12.7272727272727" style="1"/>
    <col min="9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ht="28" customHeight="1" spans="1:4">
      <c r="A2" s="3" t="s">
        <v>118</v>
      </c>
      <c r="B2" s="4" t="s">
        <v>367</v>
      </c>
      <c r="C2" s="4" t="s">
        <v>105</v>
      </c>
      <c r="D2" s="3" t="s">
        <v>57</v>
      </c>
    </row>
    <row r="3" s="1" customFormat="1" customHeight="1" spans="1:7">
      <c r="A3" s="3" t="s">
        <v>109</v>
      </c>
      <c r="B3" s="4" t="s">
        <v>368</v>
      </c>
      <c r="C3" s="4" t="s">
        <v>105</v>
      </c>
      <c r="D3" s="3" t="s">
        <v>57</v>
      </c>
      <c r="G3" s="5" t="s">
        <v>6</v>
      </c>
    </row>
    <row r="4" s="1" customFormat="1" ht="28" customHeight="1" spans="1:7">
      <c r="A4" s="3" t="s">
        <v>130</v>
      </c>
      <c r="B4" s="4" t="s">
        <v>369</v>
      </c>
      <c r="C4" s="4" t="s">
        <v>105</v>
      </c>
      <c r="D4" s="3" t="s">
        <v>57</v>
      </c>
      <c r="G4" s="5" t="s">
        <v>120</v>
      </c>
    </row>
    <row r="5" s="1" customFormat="1" ht="28" customHeight="1" spans="1:7">
      <c r="A5" s="3" t="s">
        <v>15</v>
      </c>
      <c r="B5" s="4" t="s">
        <v>370</v>
      </c>
      <c r="C5" s="4" t="s">
        <v>146</v>
      </c>
      <c r="D5" s="3" t="s">
        <v>17</v>
      </c>
      <c r="G5" s="5" t="s">
        <v>14</v>
      </c>
    </row>
    <row r="6" s="1" customFormat="1" customHeight="1" spans="1:7">
      <c r="A6" s="3" t="s">
        <v>241</v>
      </c>
      <c r="B6" s="4" t="s">
        <v>315</v>
      </c>
      <c r="C6" s="4" t="s">
        <v>105</v>
      </c>
      <c r="D6" s="3" t="s">
        <v>57</v>
      </c>
      <c r="G6" s="5" t="s">
        <v>248</v>
      </c>
    </row>
    <row r="7" s="1" customFormat="1" customHeight="1" spans="1:7">
      <c r="A7" s="3" t="s">
        <v>103</v>
      </c>
      <c r="B7" s="4" t="s">
        <v>316</v>
      </c>
      <c r="C7" s="4" t="s">
        <v>105</v>
      </c>
      <c r="D7" s="3" t="s">
        <v>57</v>
      </c>
      <c r="G7" s="1" t="s">
        <v>275</v>
      </c>
    </row>
    <row r="8" s="1" customFormat="1" customHeight="1" spans="1:7">
      <c r="A8" s="3" t="s">
        <v>106</v>
      </c>
      <c r="B8" s="4" t="s">
        <v>316</v>
      </c>
      <c r="C8" s="4" t="s">
        <v>108</v>
      </c>
      <c r="D8" s="3" t="s">
        <v>13</v>
      </c>
      <c r="G8" s="1" t="s">
        <v>276</v>
      </c>
    </row>
    <row r="9" s="1" customFormat="1" customHeight="1" spans="1:7">
      <c r="A9" s="3" t="s">
        <v>124</v>
      </c>
      <c r="B9" s="4" t="s">
        <v>371</v>
      </c>
      <c r="C9" s="4" t="s">
        <v>105</v>
      </c>
      <c r="D9" s="3" t="s">
        <v>57</v>
      </c>
      <c r="G9" s="5" t="s">
        <v>27</v>
      </c>
    </row>
    <row r="10" s="1" customFormat="1" customHeight="1" spans="1:8">
      <c r="A10" s="3" t="s">
        <v>111</v>
      </c>
      <c r="B10" s="4" t="s">
        <v>220</v>
      </c>
      <c r="C10" s="4" t="s">
        <v>113</v>
      </c>
      <c r="D10" s="3" t="s">
        <v>114</v>
      </c>
      <c r="G10" s="2" t="s">
        <v>181</v>
      </c>
      <c r="H10" s="2" t="s">
        <v>182</v>
      </c>
    </row>
    <row r="11" s="1" customFormat="1" customHeight="1" spans="1:8">
      <c r="A11" s="3" t="s">
        <v>43</v>
      </c>
      <c r="B11" s="4" t="s">
        <v>372</v>
      </c>
      <c r="C11" s="4" t="s">
        <v>113</v>
      </c>
      <c r="D11" s="3" t="s">
        <v>44</v>
      </c>
      <c r="G11" s="7" t="s">
        <v>135</v>
      </c>
      <c r="H11" s="9">
        <v>53.96</v>
      </c>
    </row>
    <row r="12" s="1" customFormat="1" ht="28" customHeight="1" spans="1:15">
      <c r="A12" s="3" t="s">
        <v>115</v>
      </c>
      <c r="B12" s="4" t="s">
        <v>16</v>
      </c>
      <c r="C12" s="4" t="s">
        <v>116</v>
      </c>
      <c r="D12" s="3" t="s">
        <v>117</v>
      </c>
      <c r="G12" s="7" t="s">
        <v>136</v>
      </c>
      <c r="H12" s="9">
        <v>216.94</v>
      </c>
      <c r="I12" s="7"/>
      <c r="J12" s="7"/>
      <c r="K12" s="7"/>
      <c r="L12" s="11"/>
      <c r="M12" s="11"/>
      <c r="N12" s="7"/>
      <c r="O12" s="7"/>
    </row>
    <row r="13" s="1" customFormat="1" ht="42" customHeight="1" spans="1:15">
      <c r="A13" s="3" t="s">
        <v>76</v>
      </c>
      <c r="B13" s="4" t="s">
        <v>16</v>
      </c>
      <c r="C13" s="4" t="s">
        <v>122</v>
      </c>
      <c r="D13" s="3" t="s">
        <v>170</v>
      </c>
      <c r="G13" s="7" t="s">
        <v>137</v>
      </c>
      <c r="H13" s="9">
        <v>216.94</v>
      </c>
      <c r="I13" s="7"/>
      <c r="J13" s="7"/>
      <c r="K13" s="7"/>
      <c r="L13" s="11"/>
      <c r="M13" s="11"/>
      <c r="N13" s="7"/>
      <c r="O13" s="7"/>
    </row>
    <row r="14" s="1" customFormat="1" customHeight="1" spans="1:15">
      <c r="A14" s="3" t="s">
        <v>86</v>
      </c>
      <c r="B14" s="4" t="s">
        <v>373</v>
      </c>
      <c r="C14" s="4" t="s">
        <v>122</v>
      </c>
      <c r="D14" s="3" t="s">
        <v>117</v>
      </c>
      <c r="G14" s="7" t="s">
        <v>185</v>
      </c>
      <c r="H14" s="9">
        <v>968.52</v>
      </c>
      <c r="I14" s="7"/>
      <c r="J14" s="7"/>
      <c r="K14" s="7"/>
      <c r="L14" s="11"/>
      <c r="M14" s="11"/>
      <c r="N14" s="7"/>
      <c r="O14" s="7"/>
    </row>
    <row r="15" s="1" customFormat="1" customHeight="1" spans="1:8">
      <c r="A15" s="3" t="s">
        <v>156</v>
      </c>
      <c r="B15" s="4" t="s">
        <v>374</v>
      </c>
      <c r="C15" s="4" t="s">
        <v>116</v>
      </c>
      <c r="D15" s="3" t="s">
        <v>55</v>
      </c>
      <c r="G15" s="7" t="s">
        <v>186</v>
      </c>
      <c r="H15" s="8">
        <v>0.8168</v>
      </c>
    </row>
    <row r="16" s="1" customFormat="1" customHeight="1" spans="1:8">
      <c r="A16" s="3" t="s">
        <v>98</v>
      </c>
      <c r="B16" s="4" t="s">
        <v>375</v>
      </c>
      <c r="C16" s="4" t="s">
        <v>122</v>
      </c>
      <c r="D16" s="3" t="s">
        <v>117</v>
      </c>
      <c r="G16" s="7" t="s">
        <v>187</v>
      </c>
      <c r="H16" s="8">
        <v>0.1832</v>
      </c>
    </row>
    <row r="17" s="1" customFormat="1" customHeight="1" spans="1:8">
      <c r="A17" s="3" t="s">
        <v>74</v>
      </c>
      <c r="B17" s="4" t="s">
        <v>375</v>
      </c>
      <c r="C17" s="4" t="s">
        <v>122</v>
      </c>
      <c r="D17" s="3" t="s">
        <v>117</v>
      </c>
      <c r="G17" s="7" t="s">
        <v>139</v>
      </c>
      <c r="H17" s="9">
        <v>185.39</v>
      </c>
    </row>
    <row r="18" s="1" customFormat="1" customHeight="1" spans="1:8">
      <c r="A18" s="3" t="s">
        <v>278</v>
      </c>
      <c r="B18" s="4" t="s">
        <v>376</v>
      </c>
      <c r="C18" s="4" t="s">
        <v>146</v>
      </c>
      <c r="D18" s="3" t="s">
        <v>17</v>
      </c>
      <c r="G18" s="7" t="s">
        <v>189</v>
      </c>
      <c r="H18" s="9">
        <v>126.99</v>
      </c>
    </row>
    <row r="19" s="1" customFormat="1" customHeight="1" spans="1:4">
      <c r="A19" s="3" t="s">
        <v>284</v>
      </c>
      <c r="B19" s="4" t="s">
        <v>376</v>
      </c>
      <c r="C19" s="4" t="s">
        <v>146</v>
      </c>
      <c r="D19" s="3" t="s">
        <v>17</v>
      </c>
    </row>
    <row r="20" s="1" customFormat="1" customHeight="1" spans="1:4">
      <c r="A20" s="3" t="s">
        <v>54</v>
      </c>
      <c r="B20" s="4" t="s">
        <v>376</v>
      </c>
      <c r="C20" s="4" t="s">
        <v>122</v>
      </c>
      <c r="D20" s="3" t="s">
        <v>55</v>
      </c>
    </row>
    <row r="21" s="1" customFormat="1" customHeight="1" spans="1:4">
      <c r="A21" s="3" t="s">
        <v>207</v>
      </c>
      <c r="B21" s="4" t="s">
        <v>377</v>
      </c>
      <c r="C21" s="4" t="s">
        <v>208</v>
      </c>
      <c r="D21" s="3" t="s">
        <v>306</v>
      </c>
    </row>
    <row r="22" s="1" customFormat="1" customHeight="1" spans="1:4">
      <c r="A22" s="3" t="s">
        <v>295</v>
      </c>
      <c r="B22" s="4" t="s">
        <v>377</v>
      </c>
      <c r="C22" s="4" t="s">
        <v>208</v>
      </c>
      <c r="D22" s="3" t="s">
        <v>306</v>
      </c>
    </row>
    <row r="23" s="1" customFormat="1" customHeight="1" spans="1:8">
      <c r="A23" s="3" t="s">
        <v>126</v>
      </c>
      <c r="B23" s="4" t="s">
        <v>377</v>
      </c>
      <c r="C23" s="4" t="s">
        <v>113</v>
      </c>
      <c r="D23" s="3" t="s">
        <v>114</v>
      </c>
      <c r="G23" s="7"/>
      <c r="H23"/>
    </row>
    <row r="24" s="1" customFormat="1" customHeight="1" spans="1:8">
      <c r="A24" s="3" t="s">
        <v>254</v>
      </c>
      <c r="B24" s="4" t="s">
        <v>377</v>
      </c>
      <c r="C24" s="4" t="s">
        <v>122</v>
      </c>
      <c r="D24" s="3" t="s">
        <v>170</v>
      </c>
      <c r="G24" s="7"/>
      <c r="H24" s="7"/>
    </row>
    <row r="25" s="1" customFormat="1" customHeight="1" spans="1:8">
      <c r="A25" s="3" t="s">
        <v>175</v>
      </c>
      <c r="B25" s="4" t="s">
        <v>378</v>
      </c>
      <c r="C25" s="4" t="s">
        <v>116</v>
      </c>
      <c r="D25" s="3" t="s">
        <v>55</v>
      </c>
      <c r="G25" s="7"/>
      <c r="H25" s="7"/>
    </row>
    <row r="26" s="1" customFormat="1" customHeight="1" spans="1:4">
      <c r="A26" s="3" t="s">
        <v>379</v>
      </c>
      <c r="B26" s="4" t="s">
        <v>378</v>
      </c>
      <c r="C26" s="4" t="s">
        <v>105</v>
      </c>
      <c r="D26" s="3" t="s">
        <v>57</v>
      </c>
    </row>
    <row r="27" s="1" customFormat="1" customHeight="1" spans="1:4">
      <c r="A27" s="3" t="s">
        <v>380</v>
      </c>
      <c r="B27" s="4" t="s">
        <v>378</v>
      </c>
      <c r="C27" s="4" t="s">
        <v>146</v>
      </c>
      <c r="D27" s="3" t="s">
        <v>17</v>
      </c>
    </row>
    <row r="28" s="1" customFormat="1" customHeight="1" spans="1:4">
      <c r="A28" s="3" t="s">
        <v>322</v>
      </c>
      <c r="B28" s="4" t="s">
        <v>378</v>
      </c>
      <c r="C28" s="4" t="s">
        <v>146</v>
      </c>
      <c r="D28" s="3" t="s">
        <v>17</v>
      </c>
    </row>
    <row r="29" s="1" customFormat="1" customHeight="1" spans="1:4">
      <c r="A29" s="3" t="s">
        <v>304</v>
      </c>
      <c r="B29" s="4" t="s">
        <v>378</v>
      </c>
      <c r="C29" s="4" t="s">
        <v>122</v>
      </c>
      <c r="D29" s="3" t="s">
        <v>117</v>
      </c>
    </row>
    <row r="30" s="1" customFormat="1" customHeight="1" spans="1:4">
      <c r="A30" s="3" t="s">
        <v>184</v>
      </c>
      <c r="B30" s="4" t="s">
        <v>70</v>
      </c>
      <c r="C30" s="4" t="s">
        <v>146</v>
      </c>
      <c r="D30" s="3" t="s">
        <v>17</v>
      </c>
    </row>
    <row r="31" s="1" customFormat="1" customHeight="1" spans="1:4">
      <c r="A31" s="3" t="s">
        <v>381</v>
      </c>
      <c r="B31" s="4" t="s">
        <v>70</v>
      </c>
      <c r="C31" s="4" t="s">
        <v>122</v>
      </c>
      <c r="D31" s="3" t="s">
        <v>117</v>
      </c>
    </row>
    <row r="32" s="1" customFormat="1" customHeight="1" spans="1:4">
      <c r="A32" s="3" t="s">
        <v>382</v>
      </c>
      <c r="B32" s="4" t="s">
        <v>70</v>
      </c>
      <c r="C32" s="4" t="s">
        <v>122</v>
      </c>
      <c r="D32" s="3" t="s">
        <v>117</v>
      </c>
    </row>
    <row r="33" s="1" customFormat="1" customHeight="1" spans="1:4">
      <c r="A33" s="3" t="s">
        <v>283</v>
      </c>
      <c r="B33" s="4" t="s">
        <v>70</v>
      </c>
      <c r="C33" s="4" t="s">
        <v>122</v>
      </c>
      <c r="D33" s="3" t="s">
        <v>117</v>
      </c>
    </row>
    <row r="34" s="1" customFormat="1" customHeight="1" spans="1:4">
      <c r="A34" s="3" t="s">
        <v>204</v>
      </c>
      <c r="B34" s="4" t="s">
        <v>70</v>
      </c>
      <c r="C34" s="4" t="s">
        <v>122</v>
      </c>
      <c r="D34" s="3" t="s">
        <v>117</v>
      </c>
    </row>
    <row r="35" s="1" customFormat="1" customHeight="1" spans="1:4">
      <c r="A35" s="3" t="s">
        <v>356</v>
      </c>
      <c r="B35" s="4" t="s">
        <v>153</v>
      </c>
      <c r="C35" s="4" t="s">
        <v>146</v>
      </c>
      <c r="D35" s="3" t="s">
        <v>17</v>
      </c>
    </row>
    <row r="36" s="1" customFormat="1" customHeight="1" spans="1:4">
      <c r="A36" s="3" t="s">
        <v>383</v>
      </c>
      <c r="B36" s="4" t="s">
        <v>153</v>
      </c>
      <c r="C36" s="4" t="s">
        <v>352</v>
      </c>
      <c r="D36" s="3" t="s">
        <v>384</v>
      </c>
    </row>
    <row r="37" s="1" customFormat="1" customHeight="1" spans="1:4">
      <c r="A37" s="3" t="s">
        <v>234</v>
      </c>
      <c r="B37" s="4" t="s">
        <v>153</v>
      </c>
      <c r="C37" s="4" t="s">
        <v>122</v>
      </c>
      <c r="D37" s="3" t="s">
        <v>117</v>
      </c>
    </row>
    <row r="38" s="1" customFormat="1" customHeight="1" spans="1:4">
      <c r="A38" s="3" t="s">
        <v>203</v>
      </c>
      <c r="B38" s="4" t="s">
        <v>153</v>
      </c>
      <c r="C38" s="4" t="s">
        <v>122</v>
      </c>
      <c r="D38" s="3" t="s">
        <v>326</v>
      </c>
    </row>
    <row r="39" s="1" customFormat="1" customHeight="1" spans="1:4">
      <c r="A39" s="3" t="s">
        <v>334</v>
      </c>
      <c r="B39" s="4" t="s">
        <v>153</v>
      </c>
      <c r="C39" s="4" t="s">
        <v>146</v>
      </c>
      <c r="D39" s="3" t="s">
        <v>17</v>
      </c>
    </row>
    <row r="40" s="1" customFormat="1" customHeight="1" spans="1:4">
      <c r="A40" s="3" t="s">
        <v>385</v>
      </c>
      <c r="B40" s="4" t="s">
        <v>153</v>
      </c>
      <c r="C40" s="4" t="s">
        <v>122</v>
      </c>
      <c r="D40" s="3" t="s">
        <v>326</v>
      </c>
    </row>
    <row r="41" s="1" customFormat="1" customHeight="1" spans="1:4">
      <c r="A41" s="3" t="s">
        <v>94</v>
      </c>
      <c r="B41" s="4" t="s">
        <v>160</v>
      </c>
      <c r="C41" s="4" t="s">
        <v>116</v>
      </c>
      <c r="D41" s="3" t="s">
        <v>117</v>
      </c>
    </row>
    <row r="42" s="1" customFormat="1" customHeight="1" spans="1:4">
      <c r="A42" s="3" t="s">
        <v>349</v>
      </c>
      <c r="B42" s="4" t="s">
        <v>160</v>
      </c>
      <c r="C42" s="4" t="s">
        <v>122</v>
      </c>
      <c r="D42" s="3" t="s">
        <v>117</v>
      </c>
    </row>
    <row r="43" s="1" customFormat="1" customHeight="1" spans="1:4">
      <c r="A43" s="3" t="s">
        <v>386</v>
      </c>
      <c r="B43" s="4" t="s">
        <v>160</v>
      </c>
      <c r="C43" s="4" t="s">
        <v>146</v>
      </c>
      <c r="D43" s="3" t="s">
        <v>17</v>
      </c>
    </row>
    <row r="44" s="1" customFormat="1" customHeight="1" spans="1:4">
      <c r="A44" s="3" t="s">
        <v>387</v>
      </c>
      <c r="B44" s="4" t="s">
        <v>160</v>
      </c>
      <c r="C44" s="4" t="s">
        <v>208</v>
      </c>
      <c r="D44" s="3" t="s">
        <v>306</v>
      </c>
    </row>
    <row r="45" s="1" customFormat="1" customHeight="1" spans="1:4">
      <c r="A45" s="3" t="s">
        <v>388</v>
      </c>
      <c r="B45" s="4" t="s">
        <v>160</v>
      </c>
      <c r="C45" s="4" t="s">
        <v>122</v>
      </c>
      <c r="D45" s="3" t="s">
        <v>306</v>
      </c>
    </row>
    <row r="46" s="1" customFormat="1" customHeight="1" spans="1:4">
      <c r="A46" s="3" t="s">
        <v>389</v>
      </c>
      <c r="B46" s="4" t="s">
        <v>160</v>
      </c>
      <c r="C46" s="4" t="s">
        <v>146</v>
      </c>
      <c r="D46" s="3" t="s">
        <v>17</v>
      </c>
    </row>
    <row r="47" s="1" customFormat="1" customHeight="1" spans="1:4">
      <c r="A47" s="3" t="s">
        <v>155</v>
      </c>
      <c r="B47" s="4" t="s">
        <v>160</v>
      </c>
      <c r="C47" s="4" t="s">
        <v>105</v>
      </c>
      <c r="D47" s="3" t="s">
        <v>57</v>
      </c>
    </row>
    <row r="48" s="1" customFormat="1" customHeight="1" spans="1:4">
      <c r="A48" s="3" t="s">
        <v>191</v>
      </c>
      <c r="B48" s="4" t="s">
        <v>160</v>
      </c>
      <c r="C48" s="4" t="s">
        <v>122</v>
      </c>
      <c r="D48" s="3" t="s">
        <v>117</v>
      </c>
    </row>
    <row r="49" s="1" customFormat="1" customHeight="1" spans="1:4">
      <c r="A49" s="3" t="s">
        <v>274</v>
      </c>
      <c r="B49" s="4" t="s">
        <v>160</v>
      </c>
      <c r="C49" s="4" t="s">
        <v>146</v>
      </c>
      <c r="D49" s="3" t="s">
        <v>17</v>
      </c>
    </row>
    <row r="50" s="1" customFormat="1" customHeight="1" spans="1:4">
      <c r="A50" s="3" t="s">
        <v>80</v>
      </c>
      <c r="B50" s="4" t="s">
        <v>160</v>
      </c>
      <c r="C50" s="4" t="s">
        <v>122</v>
      </c>
      <c r="D50" s="3" t="s">
        <v>117</v>
      </c>
    </row>
    <row r="51" s="1" customFormat="1" customHeight="1" spans="1:4">
      <c r="A51" s="3" t="s">
        <v>390</v>
      </c>
      <c r="B51" s="4" t="s">
        <v>160</v>
      </c>
      <c r="C51" s="4" t="s">
        <v>116</v>
      </c>
      <c r="D51" s="3" t="s">
        <v>117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workbookViewId="0">
      <selection activeCell="A4" sqref="A4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9.18181818181818" style="1"/>
    <col min="9" max="10" width="9" style="1"/>
    <col min="11" max="11" width="10.5454545454545" style="1"/>
    <col min="12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customHeight="1" spans="1:4">
      <c r="A2" s="3" t="s">
        <v>7</v>
      </c>
      <c r="B2" s="4" t="s">
        <v>391</v>
      </c>
      <c r="C2" s="4" t="s">
        <v>105</v>
      </c>
      <c r="D2" s="3" t="s">
        <v>9</v>
      </c>
    </row>
    <row r="3" s="1" customFormat="1" customHeight="1" spans="1:4">
      <c r="A3" s="3" t="s">
        <v>43</v>
      </c>
      <c r="B3" s="4" t="s">
        <v>392</v>
      </c>
      <c r="C3" s="4" t="s">
        <v>113</v>
      </c>
      <c r="D3" s="3" t="s">
        <v>44</v>
      </c>
    </row>
    <row r="4" s="1" customFormat="1" ht="28" customHeight="1" spans="1:7">
      <c r="A4" s="3" t="s">
        <v>52</v>
      </c>
      <c r="B4" s="4" t="s">
        <v>393</v>
      </c>
      <c r="C4" s="4" t="s">
        <v>122</v>
      </c>
      <c r="D4" s="3" t="s">
        <v>53</v>
      </c>
      <c r="G4" s="5" t="s">
        <v>6</v>
      </c>
    </row>
    <row r="5" s="1" customFormat="1" customHeight="1" spans="1:7">
      <c r="A5" s="3" t="s">
        <v>295</v>
      </c>
      <c r="B5" s="4" t="s">
        <v>394</v>
      </c>
      <c r="C5" s="4" t="s">
        <v>208</v>
      </c>
      <c r="D5" s="3" t="s">
        <v>306</v>
      </c>
      <c r="G5" s="5" t="s">
        <v>10</v>
      </c>
    </row>
    <row r="6" s="1" customFormat="1" customHeight="1" spans="1:7">
      <c r="A6" s="3" t="s">
        <v>184</v>
      </c>
      <c r="B6" s="4" t="s">
        <v>16</v>
      </c>
      <c r="C6" s="4" t="s">
        <v>146</v>
      </c>
      <c r="D6" s="3" t="s">
        <v>17</v>
      </c>
      <c r="G6" s="5" t="s">
        <v>14</v>
      </c>
    </row>
    <row r="7" s="1" customFormat="1" customHeight="1" spans="1:7">
      <c r="A7" s="3" t="s">
        <v>15</v>
      </c>
      <c r="B7" s="4" t="s">
        <v>247</v>
      </c>
      <c r="C7" s="4" t="s">
        <v>146</v>
      </c>
      <c r="D7" s="3" t="s">
        <v>17</v>
      </c>
      <c r="G7" s="5" t="s">
        <v>395</v>
      </c>
    </row>
    <row r="8" s="1" customFormat="1" customHeight="1" spans="1:7">
      <c r="A8" s="3" t="s">
        <v>86</v>
      </c>
      <c r="B8" s="4" t="s">
        <v>396</v>
      </c>
      <c r="C8" s="4" t="s">
        <v>122</v>
      </c>
      <c r="D8" s="3"/>
      <c r="G8" s="1" t="s">
        <v>275</v>
      </c>
    </row>
    <row r="9" s="1" customFormat="1" customHeight="1" spans="1:8">
      <c r="A9" s="3" t="s">
        <v>74</v>
      </c>
      <c r="B9" s="4" t="s">
        <v>396</v>
      </c>
      <c r="C9" s="4" t="s">
        <v>122</v>
      </c>
      <c r="D9" s="3"/>
      <c r="G9" s="1" t="s">
        <v>276</v>
      </c>
      <c r="H9" s="1" t="s">
        <v>277</v>
      </c>
    </row>
    <row r="10" s="1" customFormat="1" customHeight="1" spans="1:7">
      <c r="A10" s="3" t="s">
        <v>285</v>
      </c>
      <c r="B10" s="4" t="s">
        <v>396</v>
      </c>
      <c r="C10" s="4" t="s">
        <v>146</v>
      </c>
      <c r="D10" s="3" t="s">
        <v>17</v>
      </c>
      <c r="G10" s="5" t="s">
        <v>27</v>
      </c>
    </row>
    <row r="11" s="1" customFormat="1" ht="54" customHeight="1" spans="1:15">
      <c r="A11" s="3" t="s">
        <v>89</v>
      </c>
      <c r="B11" s="4" t="s">
        <v>224</v>
      </c>
      <c r="C11" s="4" t="s">
        <v>105</v>
      </c>
      <c r="D11" s="3" t="s">
        <v>90</v>
      </c>
      <c r="G11" s="2" t="s">
        <v>134</v>
      </c>
      <c r="H11" s="2" t="s">
        <v>397</v>
      </c>
      <c r="I11" s="2" t="s">
        <v>398</v>
      </c>
      <c r="J11" s="2" t="s">
        <v>399</v>
      </c>
      <c r="K11" s="2" t="s">
        <v>400</v>
      </c>
      <c r="L11" s="2" t="s">
        <v>36</v>
      </c>
      <c r="M11" s="2" t="s">
        <v>37</v>
      </c>
      <c r="N11" s="2" t="s">
        <v>401</v>
      </c>
      <c r="O11" s="2" t="s">
        <v>402</v>
      </c>
    </row>
    <row r="12" s="1" customFormat="1" ht="28" customHeight="1" spans="1:15">
      <c r="A12" s="3" t="s">
        <v>54</v>
      </c>
      <c r="B12" s="4" t="s">
        <v>224</v>
      </c>
      <c r="C12" s="4" t="s">
        <v>122</v>
      </c>
      <c r="D12" s="3" t="s">
        <v>161</v>
      </c>
      <c r="G12" s="7" t="s">
        <v>403</v>
      </c>
      <c r="H12" s="7">
        <v>51.37</v>
      </c>
      <c r="I12" s="7">
        <v>361.67</v>
      </c>
      <c r="J12" s="7">
        <v>361.67</v>
      </c>
      <c r="K12" s="7">
        <f>0.045*1644.42</f>
        <v>73.9989</v>
      </c>
      <c r="L12" s="11">
        <f>K12/(I12+K12)</f>
        <v>0.16985123335634</v>
      </c>
      <c r="M12" s="11">
        <f>1-L12</f>
        <v>0.83014876664366</v>
      </c>
      <c r="N12" s="7">
        <v>150.53</v>
      </c>
      <c r="O12" s="7">
        <v>150.58</v>
      </c>
    </row>
    <row r="13" s="1" customFormat="1" customHeight="1" spans="1:15">
      <c r="A13" s="3" t="s">
        <v>404</v>
      </c>
      <c r="B13" s="4" t="s">
        <v>224</v>
      </c>
      <c r="C13" s="4" t="s">
        <v>122</v>
      </c>
      <c r="D13" s="3"/>
      <c r="G13" s="7" t="s">
        <v>405</v>
      </c>
      <c r="H13" s="7">
        <v>515.46</v>
      </c>
      <c r="I13" s="7">
        <v>1695.96</v>
      </c>
      <c r="J13" s="7">
        <v>1695.96</v>
      </c>
      <c r="K13" s="7">
        <f>0.045*7221.37</f>
        <v>324.96165</v>
      </c>
      <c r="L13" s="11">
        <f>K13/(I13+K13)</f>
        <v>0.160798737546307</v>
      </c>
      <c r="M13" s="11">
        <f>1-L13</f>
        <v>0.839201262453693</v>
      </c>
      <c r="N13" s="7">
        <v>15</v>
      </c>
      <c r="O13" s="7">
        <v>92.5</v>
      </c>
    </row>
    <row r="14" s="1" customFormat="1" customHeight="1" spans="1:15">
      <c r="A14" s="3" t="s">
        <v>286</v>
      </c>
      <c r="B14" s="4" t="s">
        <v>224</v>
      </c>
      <c r="C14" s="4" t="s">
        <v>146</v>
      </c>
      <c r="D14" s="3" t="s">
        <v>161</v>
      </c>
      <c r="G14" s="7" t="s">
        <v>406</v>
      </c>
      <c r="H14" s="7">
        <v>503.47</v>
      </c>
      <c r="I14" s="7">
        <v>1703.88</v>
      </c>
      <c r="J14" s="7">
        <v>1703.88</v>
      </c>
      <c r="K14" s="7">
        <f>0.045*7244.71</f>
        <v>326.01195</v>
      </c>
      <c r="L14" s="11">
        <f>K14/(I14+K14)</f>
        <v>0.160605568192928</v>
      </c>
      <c r="M14" s="11">
        <f>1-L14</f>
        <v>0.839394431807072</v>
      </c>
      <c r="N14" s="7">
        <v>15.36</v>
      </c>
      <c r="O14" s="7">
        <v>111.57</v>
      </c>
    </row>
    <row r="15" s="1" customFormat="1" customHeight="1" spans="1:4">
      <c r="A15" s="3" t="s">
        <v>28</v>
      </c>
      <c r="B15" s="4" t="s">
        <v>407</v>
      </c>
      <c r="C15" s="4" t="s">
        <v>105</v>
      </c>
      <c r="D15" s="3" t="s">
        <v>30</v>
      </c>
    </row>
    <row r="16" s="1" customFormat="1" customHeight="1" spans="1:8">
      <c r="A16" s="3" t="s">
        <v>408</v>
      </c>
      <c r="B16" s="4" t="s">
        <v>407</v>
      </c>
      <c r="C16" s="4" t="s">
        <v>105</v>
      </c>
      <c r="D16" s="3" t="s">
        <v>57</v>
      </c>
      <c r="G16" s="7"/>
      <c r="H16" s="8"/>
    </row>
    <row r="17" s="1" customFormat="1" customHeight="1" spans="1:8">
      <c r="A17" s="3" t="s">
        <v>409</v>
      </c>
      <c r="B17" s="4" t="s">
        <v>407</v>
      </c>
      <c r="C17" s="4" t="s">
        <v>146</v>
      </c>
      <c r="D17" s="3" t="s">
        <v>17</v>
      </c>
      <c r="G17" s="7"/>
      <c r="H17" s="8"/>
    </row>
    <row r="18" s="1" customFormat="1" customHeight="1" spans="1:8">
      <c r="A18" s="3" t="s">
        <v>198</v>
      </c>
      <c r="B18" s="4" t="s">
        <v>407</v>
      </c>
      <c r="C18" s="4" t="s">
        <v>122</v>
      </c>
      <c r="D18" s="3"/>
      <c r="G18" s="7"/>
      <c r="H18" s="9"/>
    </row>
    <row r="19" s="1" customFormat="1" customHeight="1" spans="1:8">
      <c r="A19" s="3" t="s">
        <v>283</v>
      </c>
      <c r="B19" s="4" t="s">
        <v>407</v>
      </c>
      <c r="C19" s="4" t="s">
        <v>122</v>
      </c>
      <c r="D19" s="3"/>
      <c r="G19" s="7"/>
      <c r="H19" s="9"/>
    </row>
    <row r="20" s="1" customFormat="1" customHeight="1" spans="1:4">
      <c r="A20" s="3" t="s">
        <v>98</v>
      </c>
      <c r="B20" s="4" t="s">
        <v>407</v>
      </c>
      <c r="C20" s="4" t="s">
        <v>122</v>
      </c>
      <c r="D20" s="3"/>
    </row>
    <row r="21" s="1" customFormat="1" customHeight="1" spans="1:4">
      <c r="A21" s="3" t="s">
        <v>190</v>
      </c>
      <c r="B21" s="4" t="s">
        <v>407</v>
      </c>
      <c r="C21" s="4" t="s">
        <v>122</v>
      </c>
      <c r="D21" s="3"/>
    </row>
    <row r="22" s="1" customFormat="1" customHeight="1" spans="1:4">
      <c r="A22" s="3" t="s">
        <v>207</v>
      </c>
      <c r="B22" s="4" t="s">
        <v>407</v>
      </c>
      <c r="C22" s="4" t="s">
        <v>208</v>
      </c>
      <c r="D22" s="3" t="s">
        <v>306</v>
      </c>
    </row>
    <row r="23" s="1" customFormat="1" customHeight="1" spans="1:4">
      <c r="A23" s="3" t="s">
        <v>234</v>
      </c>
      <c r="B23" s="4" t="s">
        <v>407</v>
      </c>
      <c r="C23" s="4" t="s">
        <v>122</v>
      </c>
      <c r="D23" s="3"/>
    </row>
    <row r="24" s="1" customFormat="1" customHeight="1" spans="1:8">
      <c r="A24" s="3" t="s">
        <v>196</v>
      </c>
      <c r="B24" s="4" t="s">
        <v>407</v>
      </c>
      <c r="C24" s="4" t="s">
        <v>116</v>
      </c>
      <c r="D24" s="3"/>
      <c r="G24" s="7"/>
      <c r="H24"/>
    </row>
    <row r="25" s="1" customFormat="1" customHeight="1" spans="1:8">
      <c r="A25" s="3" t="s">
        <v>237</v>
      </c>
      <c r="B25" s="4" t="s">
        <v>407</v>
      </c>
      <c r="C25" s="4" t="s">
        <v>146</v>
      </c>
      <c r="D25" s="3" t="s">
        <v>161</v>
      </c>
      <c r="G25" s="7"/>
      <c r="H25" s="7"/>
    </row>
    <row r="26" s="1" customFormat="1" customHeight="1" spans="1:4">
      <c r="A26" s="3" t="s">
        <v>304</v>
      </c>
      <c r="B26" s="4" t="s">
        <v>407</v>
      </c>
      <c r="C26" s="4" t="s">
        <v>122</v>
      </c>
      <c r="D26" s="3"/>
    </row>
    <row r="27" s="1" customFormat="1" customHeight="1" spans="1:4">
      <c r="A27" s="3" t="s">
        <v>410</v>
      </c>
      <c r="B27" s="4" t="s">
        <v>229</v>
      </c>
      <c r="C27" s="4" t="s">
        <v>122</v>
      </c>
      <c r="D27" s="3"/>
    </row>
    <row r="28" s="1" customFormat="1" customHeight="1" spans="1:4">
      <c r="A28" s="3" t="s">
        <v>390</v>
      </c>
      <c r="B28" s="4" t="s">
        <v>229</v>
      </c>
      <c r="C28" s="4" t="s">
        <v>116</v>
      </c>
      <c r="D28" s="3"/>
    </row>
    <row r="29" s="1" customFormat="1" customHeight="1" spans="1:4">
      <c r="A29" s="3" t="s">
        <v>254</v>
      </c>
      <c r="B29" s="4" t="s">
        <v>229</v>
      </c>
      <c r="C29" s="4" t="s">
        <v>122</v>
      </c>
      <c r="D29" s="3" t="s">
        <v>77</v>
      </c>
    </row>
    <row r="30" s="1" customFormat="1" customHeight="1" spans="1:4">
      <c r="A30" s="3" t="s">
        <v>278</v>
      </c>
      <c r="B30" s="4" t="s">
        <v>229</v>
      </c>
      <c r="C30" s="4" t="s">
        <v>146</v>
      </c>
      <c r="D30" s="3" t="s">
        <v>17</v>
      </c>
    </row>
    <row r="31" s="1" customFormat="1" customHeight="1" spans="1:4">
      <c r="A31" s="3" t="s">
        <v>78</v>
      </c>
      <c r="B31" s="4" t="s">
        <v>229</v>
      </c>
      <c r="C31" s="4" t="s">
        <v>122</v>
      </c>
      <c r="D31" s="3"/>
    </row>
    <row r="32" s="1" customFormat="1" customHeight="1" spans="1:4">
      <c r="A32" s="3" t="s">
        <v>251</v>
      </c>
      <c r="B32" s="4" t="s">
        <v>229</v>
      </c>
      <c r="C32" s="4" t="s">
        <v>116</v>
      </c>
      <c r="D32" s="3" t="s">
        <v>83</v>
      </c>
    </row>
    <row r="33" s="1" customFormat="1" customHeight="1" spans="1:4">
      <c r="A33" s="3" t="s">
        <v>382</v>
      </c>
      <c r="B33" s="4" t="s">
        <v>229</v>
      </c>
      <c r="C33" s="4" t="s">
        <v>122</v>
      </c>
      <c r="D33" s="3"/>
    </row>
    <row r="34" s="1" customFormat="1" customHeight="1" spans="1:4">
      <c r="A34" s="3" t="s">
        <v>350</v>
      </c>
      <c r="B34" s="4" t="s">
        <v>229</v>
      </c>
      <c r="C34" s="4" t="s">
        <v>116</v>
      </c>
      <c r="D34" s="3"/>
    </row>
    <row r="35" s="1" customFormat="1" customHeight="1" spans="1:4">
      <c r="A35" s="3" t="s">
        <v>411</v>
      </c>
      <c r="B35" s="4" t="s">
        <v>229</v>
      </c>
      <c r="C35" s="4" t="s">
        <v>122</v>
      </c>
      <c r="D35" s="3" t="s">
        <v>83</v>
      </c>
    </row>
    <row r="36" s="1" customFormat="1" customHeight="1" spans="1:4">
      <c r="A36" s="3" t="s">
        <v>152</v>
      </c>
      <c r="B36" s="4" t="s">
        <v>229</v>
      </c>
      <c r="C36" s="4" t="s">
        <v>105</v>
      </c>
      <c r="D36" s="3" t="s">
        <v>57</v>
      </c>
    </row>
    <row r="37" s="1" customFormat="1" customHeight="1" spans="1:4">
      <c r="A37" s="3" t="s">
        <v>412</v>
      </c>
      <c r="B37" s="4" t="s">
        <v>229</v>
      </c>
      <c r="C37" s="4" t="s">
        <v>116</v>
      </c>
      <c r="D37" s="3"/>
    </row>
    <row r="38" s="1" customFormat="1" customHeight="1" spans="1:4">
      <c r="A38" s="3" t="s">
        <v>91</v>
      </c>
      <c r="B38" s="4" t="s">
        <v>229</v>
      </c>
      <c r="C38" s="4" t="s">
        <v>113</v>
      </c>
      <c r="D38" s="3" t="s">
        <v>92</v>
      </c>
    </row>
    <row r="39" s="1" customFormat="1" customHeight="1" spans="1:4">
      <c r="A39" s="3" t="s">
        <v>413</v>
      </c>
      <c r="B39" s="4" t="s">
        <v>229</v>
      </c>
      <c r="C39" s="4" t="s">
        <v>122</v>
      </c>
      <c r="D39" s="3" t="s">
        <v>306</v>
      </c>
    </row>
    <row r="40" s="1" customFormat="1" customHeight="1" spans="1:4">
      <c r="A40" s="3" t="s">
        <v>204</v>
      </c>
      <c r="B40" s="4" t="s">
        <v>229</v>
      </c>
      <c r="C40" s="4" t="s">
        <v>122</v>
      </c>
      <c r="D40" s="3"/>
    </row>
    <row r="41" s="1" customFormat="1" customHeight="1" spans="1:4">
      <c r="A41" s="3" t="s">
        <v>274</v>
      </c>
      <c r="B41" s="4" t="s">
        <v>229</v>
      </c>
      <c r="C41" s="4" t="s">
        <v>146</v>
      </c>
      <c r="D41" s="3" t="s">
        <v>17</v>
      </c>
    </row>
    <row r="42" s="1" customFormat="1" customHeight="1" spans="1:4">
      <c r="A42" s="3" t="s">
        <v>414</v>
      </c>
      <c r="B42" s="4" t="s">
        <v>229</v>
      </c>
      <c r="C42" s="4" t="s">
        <v>146</v>
      </c>
      <c r="D42" s="3" t="s">
        <v>100</v>
      </c>
    </row>
    <row r="43" s="1" customFormat="1" customHeight="1" spans="1:4">
      <c r="A43" s="3" t="s">
        <v>76</v>
      </c>
      <c r="B43" s="4" t="s">
        <v>229</v>
      </c>
      <c r="C43" s="4" t="s">
        <v>122</v>
      </c>
      <c r="D43" s="3" t="s">
        <v>77</v>
      </c>
    </row>
    <row r="44" s="1" customFormat="1" customHeight="1" spans="1:4">
      <c r="A44" s="3" t="s">
        <v>188</v>
      </c>
      <c r="B44" s="4" t="s">
        <v>229</v>
      </c>
      <c r="C44" s="4" t="s">
        <v>108</v>
      </c>
      <c r="D44" s="3"/>
    </row>
    <row r="45" s="1" customFormat="1" customHeight="1" spans="1:4">
      <c r="A45" s="3" t="s">
        <v>144</v>
      </c>
      <c r="B45" s="4" t="s">
        <v>229</v>
      </c>
      <c r="C45" s="4" t="s">
        <v>146</v>
      </c>
      <c r="D45" s="3" t="s">
        <v>17</v>
      </c>
    </row>
    <row r="46" s="1" customFormat="1" customHeight="1" spans="1:4">
      <c r="A46" s="3" t="s">
        <v>415</v>
      </c>
      <c r="B46" s="4" t="s">
        <v>158</v>
      </c>
      <c r="C46" s="4" t="s">
        <v>116</v>
      </c>
      <c r="D46" s="3"/>
    </row>
    <row r="47" s="1" customFormat="1" customHeight="1" spans="1:4">
      <c r="A47" s="3" t="s">
        <v>80</v>
      </c>
      <c r="B47" s="4" t="s">
        <v>158</v>
      </c>
      <c r="C47" s="4" t="s">
        <v>122</v>
      </c>
      <c r="D47" s="3"/>
    </row>
    <row r="48" s="1" customFormat="1" customHeight="1" spans="1:4">
      <c r="A48" s="3" t="s">
        <v>416</v>
      </c>
      <c r="B48" s="4" t="s">
        <v>158</v>
      </c>
      <c r="C48" s="4" t="s">
        <v>122</v>
      </c>
      <c r="D48" s="3"/>
    </row>
    <row r="49" s="1" customFormat="1" customHeight="1" spans="1:4">
      <c r="A49" s="3" t="s">
        <v>191</v>
      </c>
      <c r="B49" s="4" t="s">
        <v>158</v>
      </c>
      <c r="C49" s="4" t="s">
        <v>122</v>
      </c>
      <c r="D49" s="3"/>
    </row>
    <row r="50" s="1" customFormat="1" customHeight="1" spans="1:4">
      <c r="A50" s="3" t="s">
        <v>417</v>
      </c>
      <c r="B50" s="4" t="s">
        <v>158</v>
      </c>
      <c r="C50" s="4" t="s">
        <v>122</v>
      </c>
      <c r="D50" s="3" t="s">
        <v>97</v>
      </c>
    </row>
    <row r="51" s="1" customFormat="1" customHeight="1" spans="1:4">
      <c r="A51" s="3" t="s">
        <v>418</v>
      </c>
      <c r="B51" s="4" t="s">
        <v>158</v>
      </c>
      <c r="C51" s="4" t="s">
        <v>122</v>
      </c>
      <c r="D51" s="3" t="s">
        <v>83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N17" sqref="N17"/>
    </sheetView>
  </sheetViews>
  <sheetFormatPr defaultColWidth="9" defaultRowHeight="25" customHeight="1"/>
  <cols>
    <col min="1" max="1" width="28.0909090909091" style="1" customWidth="1"/>
    <col min="2" max="2" width="12" style="1" customWidth="1"/>
    <col min="3" max="3" width="18" style="1" customWidth="1"/>
    <col min="4" max="4" width="45.0909090909091" style="1" customWidth="1"/>
    <col min="5" max="6" width="9" style="1"/>
    <col min="7" max="7" width="34.2727272727273" style="1" customWidth="1"/>
    <col min="8" max="8" width="12.7272727272727" style="1"/>
    <col min="9" max="10" width="9" style="1"/>
    <col min="11" max="11" width="10.5454545454545" style="1"/>
    <col min="12" max="16384" width="9" style="1"/>
  </cols>
  <sheetData>
    <row r="1" s="1" customFormat="1" customHeight="1" spans="1:4">
      <c r="A1" s="2" t="s">
        <v>0</v>
      </c>
      <c r="B1" s="2" t="s">
        <v>1</v>
      </c>
      <c r="C1" s="2" t="s">
        <v>102</v>
      </c>
      <c r="D1" s="2" t="s">
        <v>2</v>
      </c>
    </row>
    <row r="2" s="1" customFormat="1" ht="28" customHeight="1" spans="1:4">
      <c r="A2" s="3" t="s">
        <v>103</v>
      </c>
      <c r="B2" s="4" t="s">
        <v>419</v>
      </c>
      <c r="C2" s="4" t="s">
        <v>105</v>
      </c>
      <c r="D2" s="3" t="s">
        <v>57</v>
      </c>
    </row>
    <row r="3" s="1" customFormat="1" customHeight="1" spans="1:7">
      <c r="A3" s="3" t="s">
        <v>109</v>
      </c>
      <c r="B3" s="4" t="s">
        <v>420</v>
      </c>
      <c r="C3" s="4" t="s">
        <v>105</v>
      </c>
      <c r="D3" s="3" t="s">
        <v>57</v>
      </c>
      <c r="G3" s="5"/>
    </row>
    <row r="4" s="1" customFormat="1" ht="28" customHeight="1" spans="1:7">
      <c r="A4" s="3" t="s">
        <v>15</v>
      </c>
      <c r="B4" s="4" t="s">
        <v>421</v>
      </c>
      <c r="C4" s="4" t="s">
        <v>146</v>
      </c>
      <c r="D4" s="3" t="s">
        <v>17</v>
      </c>
      <c r="G4" s="5" t="s">
        <v>6</v>
      </c>
    </row>
    <row r="5" s="1" customFormat="1" ht="28" customHeight="1" spans="1:7">
      <c r="A5" s="3" t="s">
        <v>130</v>
      </c>
      <c r="B5" s="4" t="s">
        <v>317</v>
      </c>
      <c r="C5" s="4" t="s">
        <v>105</v>
      </c>
      <c r="D5" s="3" t="s">
        <v>57</v>
      </c>
      <c r="G5" s="5" t="s">
        <v>120</v>
      </c>
    </row>
    <row r="6" s="1" customFormat="1" customHeight="1" spans="1:7">
      <c r="A6" s="3" t="s">
        <v>106</v>
      </c>
      <c r="B6" s="4" t="s">
        <v>372</v>
      </c>
      <c r="C6" s="4" t="s">
        <v>108</v>
      </c>
      <c r="D6" s="3" t="s">
        <v>13</v>
      </c>
      <c r="G6" s="5" t="s">
        <v>14</v>
      </c>
    </row>
    <row r="7" s="1" customFormat="1" customHeight="1" spans="1:7">
      <c r="A7" s="3" t="s">
        <v>124</v>
      </c>
      <c r="B7" s="4" t="s">
        <v>422</v>
      </c>
      <c r="C7" s="4" t="s">
        <v>105</v>
      </c>
      <c r="D7" s="3" t="s">
        <v>57</v>
      </c>
      <c r="G7" s="5" t="s">
        <v>395</v>
      </c>
    </row>
    <row r="8" s="1" customFormat="1" customHeight="1" spans="1:7">
      <c r="A8" s="3" t="s">
        <v>111</v>
      </c>
      <c r="B8" s="4" t="s">
        <v>246</v>
      </c>
      <c r="C8" s="4" t="s">
        <v>113</v>
      </c>
      <c r="D8" s="3" t="s">
        <v>114</v>
      </c>
      <c r="G8" s="1" t="s">
        <v>275</v>
      </c>
    </row>
    <row r="9" s="1" customFormat="1" customHeight="1" spans="1:8">
      <c r="A9" s="3" t="s">
        <v>118</v>
      </c>
      <c r="B9" s="4" t="s">
        <v>423</v>
      </c>
      <c r="C9" s="4" t="s">
        <v>105</v>
      </c>
      <c r="D9" s="3" t="s">
        <v>57</v>
      </c>
      <c r="G9" s="1" t="s">
        <v>276</v>
      </c>
      <c r="H9" s="1" t="s">
        <v>277</v>
      </c>
    </row>
    <row r="10" s="1" customFormat="1" customHeight="1" spans="1:7">
      <c r="A10" s="3" t="s">
        <v>115</v>
      </c>
      <c r="B10" s="4" t="s">
        <v>423</v>
      </c>
      <c r="C10" s="4" t="s">
        <v>116</v>
      </c>
      <c r="D10" s="3" t="s">
        <v>117</v>
      </c>
      <c r="G10" s="5" t="s">
        <v>27</v>
      </c>
    </row>
    <row r="11" s="1" customFormat="1" customHeight="1" spans="1:15">
      <c r="A11" s="3" t="s">
        <v>76</v>
      </c>
      <c r="B11" s="4" t="s">
        <v>423</v>
      </c>
      <c r="C11" s="4" t="s">
        <v>122</v>
      </c>
      <c r="D11" s="3" t="s">
        <v>170</v>
      </c>
      <c r="G11" s="2" t="s">
        <v>134</v>
      </c>
      <c r="H11" s="2" t="s">
        <v>135</v>
      </c>
      <c r="I11" s="2" t="s">
        <v>136</v>
      </c>
      <c r="J11" s="2" t="s">
        <v>137</v>
      </c>
      <c r="K11" s="2" t="s">
        <v>138</v>
      </c>
      <c r="L11" s="2" t="s">
        <v>36</v>
      </c>
      <c r="M11" s="2" t="s">
        <v>37</v>
      </c>
      <c r="N11" s="2" t="s">
        <v>139</v>
      </c>
      <c r="O11" s="2" t="s">
        <v>140</v>
      </c>
    </row>
    <row r="12" s="1" customFormat="1" ht="28" customHeight="1" spans="1:15">
      <c r="A12" s="3" t="s">
        <v>149</v>
      </c>
      <c r="B12" s="4" t="s">
        <v>424</v>
      </c>
      <c r="C12" s="4" t="s">
        <v>116</v>
      </c>
      <c r="D12" s="3" t="s">
        <v>117</v>
      </c>
      <c r="G12" s="6" t="s">
        <v>425</v>
      </c>
      <c r="H12" s="6">
        <v>80.366</v>
      </c>
      <c r="I12" s="6">
        <v>535.53</v>
      </c>
      <c r="J12" s="6">
        <v>535.53</v>
      </c>
      <c r="K12" s="6">
        <f>0.045*2361.852</f>
        <v>106.28334</v>
      </c>
      <c r="L12" s="10">
        <f>K12/(K12+I12)</f>
        <v>0.165598521214907</v>
      </c>
      <c r="M12" s="10">
        <f>1-L12</f>
        <v>0.834401478785094</v>
      </c>
      <c r="N12" s="6">
        <v>91.758</v>
      </c>
      <c r="O12" s="6">
        <v>91.789</v>
      </c>
    </row>
    <row r="13" s="1" customFormat="1" ht="42" customHeight="1" spans="1:15">
      <c r="A13" s="3" t="s">
        <v>74</v>
      </c>
      <c r="B13" s="4" t="s">
        <v>320</v>
      </c>
      <c r="C13" s="4" t="s">
        <v>122</v>
      </c>
      <c r="D13" s="3" t="s">
        <v>117</v>
      </c>
      <c r="G13" s="6" t="s">
        <v>426</v>
      </c>
      <c r="H13" s="6">
        <v>955.166</v>
      </c>
      <c r="I13" s="6">
        <v>3013</v>
      </c>
      <c r="J13" s="6">
        <v>3013</v>
      </c>
      <c r="K13" s="6">
        <f>0.045*13340.06</f>
        <v>600.3027</v>
      </c>
      <c r="L13" s="10">
        <f>K13/(K13+I13)</f>
        <v>0.166136842064187</v>
      </c>
      <c r="M13" s="10">
        <f>1-L13</f>
        <v>0.833863157935813</v>
      </c>
      <c r="N13" s="6">
        <v>7.72</v>
      </c>
      <c r="O13" s="6">
        <v>47.606</v>
      </c>
    </row>
    <row r="14" s="1" customFormat="1" customHeight="1" spans="1:15">
      <c r="A14" s="3" t="s">
        <v>155</v>
      </c>
      <c r="B14" s="4" t="s">
        <v>427</v>
      </c>
      <c r="C14" s="4" t="s">
        <v>105</v>
      </c>
      <c r="D14" s="3" t="s">
        <v>57</v>
      </c>
      <c r="G14" s="6" t="s">
        <v>428</v>
      </c>
      <c r="H14" s="6">
        <v>940.79</v>
      </c>
      <c r="I14" s="6">
        <v>3090.19</v>
      </c>
      <c r="J14" s="6">
        <v>3090.19</v>
      </c>
      <c r="K14" s="6">
        <f>0.045*13679.912</f>
        <v>615.59604</v>
      </c>
      <c r="L14" s="10">
        <f>K14/(K14+I14)</f>
        <v>0.166117534405737</v>
      </c>
      <c r="M14" s="10">
        <f>1-L14</f>
        <v>0.833882465594263</v>
      </c>
      <c r="N14" s="6">
        <v>7.838</v>
      </c>
      <c r="O14" s="6">
        <v>56.942</v>
      </c>
    </row>
    <row r="15" s="1" customFormat="1" customHeight="1" spans="1:8">
      <c r="A15" s="3" t="s">
        <v>126</v>
      </c>
      <c r="B15" s="4" t="s">
        <v>427</v>
      </c>
      <c r="C15" s="4" t="s">
        <v>113</v>
      </c>
      <c r="D15" s="3" t="s">
        <v>114</v>
      </c>
      <c r="G15" s="7"/>
      <c r="H15" s="8"/>
    </row>
    <row r="16" s="1" customFormat="1" customHeight="1" spans="1:8">
      <c r="A16" s="3" t="s">
        <v>173</v>
      </c>
      <c r="B16" s="4" t="s">
        <v>429</v>
      </c>
      <c r="C16" s="4" t="s">
        <v>116</v>
      </c>
      <c r="D16" s="3" t="s">
        <v>117</v>
      </c>
      <c r="G16" s="7"/>
      <c r="H16" s="8"/>
    </row>
    <row r="17" s="1" customFormat="1" customHeight="1" spans="1:8">
      <c r="A17" s="3" t="s">
        <v>334</v>
      </c>
      <c r="B17" s="4" t="s">
        <v>429</v>
      </c>
      <c r="C17" s="4" t="s">
        <v>146</v>
      </c>
      <c r="D17" s="3" t="s">
        <v>17</v>
      </c>
      <c r="G17" s="7"/>
      <c r="H17" s="9"/>
    </row>
    <row r="18" s="1" customFormat="1" customHeight="1" spans="1:8">
      <c r="A18" s="3" t="s">
        <v>94</v>
      </c>
      <c r="B18" s="4" t="s">
        <v>133</v>
      </c>
      <c r="C18" s="4" t="s">
        <v>116</v>
      </c>
      <c r="D18" s="3" t="s">
        <v>117</v>
      </c>
      <c r="G18" s="7"/>
      <c r="H18" s="9"/>
    </row>
    <row r="19" s="1" customFormat="1" customHeight="1" spans="1:4">
      <c r="A19" s="3" t="s">
        <v>430</v>
      </c>
      <c r="B19" s="4" t="s">
        <v>133</v>
      </c>
      <c r="C19" s="4" t="s">
        <v>146</v>
      </c>
      <c r="D19" s="3" t="s">
        <v>17</v>
      </c>
    </row>
    <row r="20" s="1" customFormat="1" customHeight="1" spans="1:4">
      <c r="A20" s="3" t="s">
        <v>86</v>
      </c>
      <c r="B20" s="4" t="s">
        <v>133</v>
      </c>
      <c r="C20" s="4" t="s">
        <v>122</v>
      </c>
      <c r="D20" s="3" t="s">
        <v>117</v>
      </c>
    </row>
    <row r="21" s="1" customFormat="1" customHeight="1" spans="1:4">
      <c r="A21" s="3" t="s">
        <v>295</v>
      </c>
      <c r="B21" s="4" t="s">
        <v>133</v>
      </c>
      <c r="C21" s="4" t="s">
        <v>208</v>
      </c>
      <c r="D21" s="3" t="s">
        <v>117</v>
      </c>
    </row>
    <row r="22" s="1" customFormat="1" customHeight="1" spans="1:4">
      <c r="A22" s="3" t="s">
        <v>152</v>
      </c>
      <c r="B22" s="4" t="s">
        <v>133</v>
      </c>
      <c r="C22" s="4" t="s">
        <v>105</v>
      </c>
      <c r="D22" s="3" t="s">
        <v>57</v>
      </c>
    </row>
    <row r="23" s="1" customFormat="1" customHeight="1" spans="1:8">
      <c r="A23" s="3" t="s">
        <v>207</v>
      </c>
      <c r="B23" s="4" t="s">
        <v>145</v>
      </c>
      <c r="C23" s="4" t="s">
        <v>208</v>
      </c>
      <c r="D23" s="3" t="s">
        <v>117</v>
      </c>
      <c r="G23" s="7"/>
      <c r="H23"/>
    </row>
    <row r="24" s="1" customFormat="1" customHeight="1" spans="1:8">
      <c r="A24" s="3" t="s">
        <v>431</v>
      </c>
      <c r="B24" s="4" t="s">
        <v>432</v>
      </c>
      <c r="C24" s="4" t="s">
        <v>352</v>
      </c>
      <c r="D24" s="3" t="s">
        <v>433</v>
      </c>
      <c r="G24" s="7"/>
      <c r="H24" s="7"/>
    </row>
    <row r="25" s="1" customFormat="1" customHeight="1" spans="1:8">
      <c r="A25" s="3" t="s">
        <v>434</v>
      </c>
      <c r="B25" s="4" t="s">
        <v>432</v>
      </c>
      <c r="C25" s="4" t="s">
        <v>122</v>
      </c>
      <c r="D25" s="3" t="s">
        <v>117</v>
      </c>
      <c r="G25" s="7"/>
      <c r="H25" s="7"/>
    </row>
    <row r="26" s="1" customFormat="1" customHeight="1" spans="1:4">
      <c r="A26" s="3" t="s">
        <v>287</v>
      </c>
      <c r="B26" s="4" t="s">
        <v>432</v>
      </c>
      <c r="C26" s="4" t="s">
        <v>122</v>
      </c>
      <c r="D26" s="3" t="s">
        <v>117</v>
      </c>
    </row>
    <row r="27" s="1" customFormat="1" customHeight="1" spans="1:4">
      <c r="A27" s="3" t="s">
        <v>162</v>
      </c>
      <c r="B27" s="4" t="s">
        <v>432</v>
      </c>
      <c r="C27" s="4" t="s">
        <v>116</v>
      </c>
      <c r="D27" s="3" t="s">
        <v>117</v>
      </c>
    </row>
    <row r="28" s="1" customFormat="1" customHeight="1" spans="1:4">
      <c r="A28" s="3" t="s">
        <v>435</v>
      </c>
      <c r="B28" s="4" t="s">
        <v>330</v>
      </c>
      <c r="C28" s="4" t="s">
        <v>116</v>
      </c>
      <c r="D28" s="3" t="s">
        <v>117</v>
      </c>
    </row>
    <row r="29" s="1" customFormat="1" customHeight="1" spans="1:4">
      <c r="A29" s="3" t="s">
        <v>156</v>
      </c>
      <c r="B29" s="4" t="s">
        <v>330</v>
      </c>
      <c r="C29" s="4" t="s">
        <v>116</v>
      </c>
      <c r="D29" s="3" t="s">
        <v>117</v>
      </c>
    </row>
    <row r="30" s="1" customFormat="1" customHeight="1" spans="1:4">
      <c r="A30" s="3" t="s">
        <v>98</v>
      </c>
      <c r="B30" s="4" t="s">
        <v>330</v>
      </c>
      <c r="C30" s="4" t="s">
        <v>122</v>
      </c>
      <c r="D30" s="3" t="s">
        <v>117</v>
      </c>
    </row>
    <row r="31" s="1" customFormat="1" customHeight="1" spans="1:4">
      <c r="A31" s="3" t="s">
        <v>348</v>
      </c>
      <c r="B31" s="4" t="s">
        <v>436</v>
      </c>
      <c r="C31" s="4" t="s">
        <v>208</v>
      </c>
      <c r="D31" s="3" t="s">
        <v>117</v>
      </c>
    </row>
    <row r="32" s="1" customFormat="1" customHeight="1" spans="1:4">
      <c r="A32" s="3" t="s">
        <v>333</v>
      </c>
      <c r="B32" s="4" t="s">
        <v>436</v>
      </c>
      <c r="C32" s="4" t="s">
        <v>116</v>
      </c>
      <c r="D32" s="3" t="s">
        <v>83</v>
      </c>
    </row>
    <row r="33" s="1" customFormat="1" customHeight="1" spans="1:4">
      <c r="A33" s="3" t="s">
        <v>204</v>
      </c>
      <c r="B33" s="4" t="s">
        <v>436</v>
      </c>
      <c r="C33" s="4" t="s">
        <v>122</v>
      </c>
      <c r="D33" s="3" t="s">
        <v>117</v>
      </c>
    </row>
    <row r="34" s="1" customFormat="1" customHeight="1" spans="1:4">
      <c r="A34" s="3" t="s">
        <v>437</v>
      </c>
      <c r="B34" s="4" t="s">
        <v>436</v>
      </c>
      <c r="C34" s="4" t="s">
        <v>352</v>
      </c>
      <c r="D34" s="3" t="s">
        <v>117</v>
      </c>
    </row>
    <row r="35" s="1" customFormat="1" customHeight="1" spans="1:4">
      <c r="A35" s="3" t="s">
        <v>438</v>
      </c>
      <c r="B35" s="4" t="s">
        <v>436</v>
      </c>
      <c r="C35" s="4" t="s">
        <v>352</v>
      </c>
      <c r="D35" s="3" t="s">
        <v>433</v>
      </c>
    </row>
    <row r="36" s="1" customFormat="1" customHeight="1" spans="1:4">
      <c r="A36" s="3" t="s">
        <v>439</v>
      </c>
      <c r="B36" s="4" t="s">
        <v>436</v>
      </c>
      <c r="C36" s="4" t="s">
        <v>122</v>
      </c>
      <c r="D36" s="3" t="s">
        <v>117</v>
      </c>
    </row>
    <row r="37" s="1" customFormat="1" customHeight="1" spans="1:4">
      <c r="A37" s="3" t="s">
        <v>382</v>
      </c>
      <c r="B37" s="4" t="s">
        <v>242</v>
      </c>
      <c r="C37" s="4" t="s">
        <v>122</v>
      </c>
      <c r="D37" s="3" t="s">
        <v>117</v>
      </c>
    </row>
    <row r="38" s="1" customFormat="1" customHeight="1" spans="1:4">
      <c r="A38" s="3" t="s">
        <v>440</v>
      </c>
      <c r="B38" s="4" t="s">
        <v>242</v>
      </c>
      <c r="C38" s="4" t="s">
        <v>352</v>
      </c>
      <c r="D38" s="3" t="s">
        <v>117</v>
      </c>
    </row>
    <row r="39" s="1" customFormat="1" customHeight="1" spans="1:4">
      <c r="A39" s="3" t="s">
        <v>254</v>
      </c>
      <c r="B39" s="4" t="s">
        <v>242</v>
      </c>
      <c r="C39" s="4" t="s">
        <v>122</v>
      </c>
      <c r="D39" s="3" t="s">
        <v>170</v>
      </c>
    </row>
    <row r="40" s="1" customFormat="1" customHeight="1" spans="1:4">
      <c r="A40" s="3" t="s">
        <v>324</v>
      </c>
      <c r="B40" s="4" t="s">
        <v>242</v>
      </c>
      <c r="C40" s="4" t="s">
        <v>146</v>
      </c>
      <c r="D40" s="3" t="s">
        <v>17</v>
      </c>
    </row>
    <row r="41" s="1" customFormat="1" customHeight="1" spans="1:4">
      <c r="A41" s="3" t="s">
        <v>297</v>
      </c>
      <c r="B41" s="4" t="s">
        <v>242</v>
      </c>
      <c r="C41" s="4" t="s">
        <v>105</v>
      </c>
      <c r="D41" s="3" t="s">
        <v>441</v>
      </c>
    </row>
    <row r="42" s="1" customFormat="1" customHeight="1" spans="1:4">
      <c r="A42" s="3" t="s">
        <v>442</v>
      </c>
      <c r="B42" s="4" t="s">
        <v>443</v>
      </c>
      <c r="C42" s="4" t="s">
        <v>116</v>
      </c>
      <c r="D42" s="3" t="s">
        <v>117</v>
      </c>
    </row>
    <row r="43" s="1" customFormat="1" customHeight="1" spans="1:4">
      <c r="A43" s="3" t="s">
        <v>444</v>
      </c>
      <c r="B43" s="4" t="s">
        <v>443</v>
      </c>
      <c r="C43" s="4" t="s">
        <v>352</v>
      </c>
      <c r="D43" s="3" t="s">
        <v>117</v>
      </c>
    </row>
    <row r="44" s="1" customFormat="1" customHeight="1" spans="1:4">
      <c r="A44" s="3" t="s">
        <v>445</v>
      </c>
      <c r="B44" s="4" t="s">
        <v>443</v>
      </c>
      <c r="C44" s="4" t="s">
        <v>146</v>
      </c>
      <c r="D44" s="3" t="s">
        <v>17</v>
      </c>
    </row>
    <row r="45" s="1" customFormat="1" customHeight="1" spans="1:4">
      <c r="A45" s="3" t="s">
        <v>446</v>
      </c>
      <c r="B45" s="4" t="s">
        <v>443</v>
      </c>
      <c r="C45" s="4" t="s">
        <v>146</v>
      </c>
      <c r="D45" s="3" t="s">
        <v>17</v>
      </c>
    </row>
    <row r="46" s="1" customFormat="1" customHeight="1" spans="1:4">
      <c r="A46" s="3" t="s">
        <v>447</v>
      </c>
      <c r="B46" s="4" t="s">
        <v>443</v>
      </c>
      <c r="C46" s="4" t="s">
        <v>122</v>
      </c>
      <c r="D46" s="3" t="s">
        <v>117</v>
      </c>
    </row>
    <row r="47" s="1" customFormat="1" customHeight="1" spans="1:4">
      <c r="A47" s="3" t="s">
        <v>448</v>
      </c>
      <c r="B47" s="4" t="s">
        <v>443</v>
      </c>
      <c r="C47" s="4" t="s">
        <v>146</v>
      </c>
      <c r="D47" s="3" t="s">
        <v>161</v>
      </c>
    </row>
    <row r="48" s="1" customFormat="1" customHeight="1" spans="1:4">
      <c r="A48" s="3" t="s">
        <v>449</v>
      </c>
      <c r="B48" s="4" t="s">
        <v>443</v>
      </c>
      <c r="C48" s="4" t="s">
        <v>352</v>
      </c>
      <c r="D48" s="3" t="s">
        <v>450</v>
      </c>
    </row>
    <row r="49" s="1" customFormat="1" customHeight="1" spans="1:4">
      <c r="A49" s="3" t="s">
        <v>307</v>
      </c>
      <c r="B49" s="4" t="s">
        <v>443</v>
      </c>
      <c r="C49" s="4" t="s">
        <v>146</v>
      </c>
      <c r="D49" s="3" t="s">
        <v>161</v>
      </c>
    </row>
    <row r="50" s="1" customFormat="1" customHeight="1" spans="1:4">
      <c r="A50" s="3" t="s">
        <v>213</v>
      </c>
      <c r="B50" s="4" t="s">
        <v>443</v>
      </c>
      <c r="C50" s="4" t="s">
        <v>122</v>
      </c>
      <c r="D50" s="3" t="s">
        <v>117</v>
      </c>
    </row>
    <row r="51" s="1" customFormat="1" customHeight="1" spans="1:4">
      <c r="A51" s="3" t="s">
        <v>191</v>
      </c>
      <c r="B51" s="4" t="s">
        <v>443</v>
      </c>
      <c r="C51" s="4" t="s">
        <v>122</v>
      </c>
      <c r="D51" s="3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threadedmapbench-ARM</vt:lpstr>
      <vt:lpstr>threadedmapbench-RISCV</vt:lpstr>
      <vt:lpstr>TestDFSIO_read_arm</vt:lpstr>
      <vt:lpstr>TestDFSIO_read_riscv</vt:lpstr>
      <vt:lpstr>TestDFSIO_write_arm</vt:lpstr>
      <vt:lpstr>TestDFSIO_write_riscv</vt:lpstr>
      <vt:lpstr>TestDFSIO_read_arm_c1</vt:lpstr>
      <vt:lpstr>TestDFSIO_read_riscv_C1</vt:lpstr>
      <vt:lpstr>TestDFSIO_write_arm_c1</vt:lpstr>
      <vt:lpstr>TestDFSIO_write_riscv_C1</vt:lpstr>
      <vt:lpstr>threadedmapbench-ARM-C1</vt:lpstr>
      <vt:lpstr>threadedmapbench-riscv-C1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gaoyu chen</dc:creator>
  <cp:lastModifiedBy> 陈高宇</cp:lastModifiedBy>
  <dcterms:created xsi:type="dcterms:W3CDTF">2023-05-12T11:15:00Z</dcterms:created>
  <dcterms:modified xsi:type="dcterms:W3CDTF">2026-02-25T03:56:51Z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6986A946D43744C59BA23CD474C08C21_12</vt:lpwstr>
  </property>
</Properties>
</file>